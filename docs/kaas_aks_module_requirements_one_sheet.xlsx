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oniskhan/Documents/aws_eks/"/>
    </mc:Choice>
  </mc:AlternateContent>
  <xr:revisionPtr revIDLastSave="0" documentId="8_{6C80C083-1FF8-FA46-A2A0-A64E926F311E}" xr6:coauthVersionLast="47" xr6:coauthVersionMax="47" xr10:uidLastSave="{00000000-0000-0000-0000-000000000000}"/>
  <bookViews>
    <workbookView xWindow="0" yWindow="500" windowWidth="34560" windowHeight="22340" xr2:uid="{00000000-000D-0000-FFFF-FFFF00000000}"/>
  </bookViews>
  <sheets>
    <sheet name="AKS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<sst xmlns="http://schemas.openxmlformats.org/spreadsheetml/2006/main" count="837" uniqueCount="337">
  <si>
    <t>KaaS AKS Module Requirements Traceability</t>
  </si>
  <si>
    <t>AKS-module-owned PRD and blueprint requirements only. Relevant naming standards are intentionally marked Needs to be done.</t>
  </si>
  <si>
    <t>Metric</t>
  </si>
  <si>
    <t>Count</t>
  </si>
  <si>
    <t>Total requirements</t>
  </si>
  <si>
    <t>Done</t>
  </si>
  <si>
    <t>Partial</t>
  </si>
  <si>
    <t>Needs to be done</t>
  </si>
  <si>
    <t>Out of module scope</t>
  </si>
  <si>
    <t>Requirement ID</t>
  </si>
  <si>
    <t>Source group</t>
  </si>
  <si>
    <t>Category / Section</t>
  </si>
  <si>
    <t>Requirement</t>
  </si>
  <si>
    <t>Status</t>
  </si>
  <si>
    <t>Implementation evidence</t>
  </si>
  <si>
    <t>What is left</t>
  </si>
  <si>
    <t>Source reference</t>
  </si>
  <si>
    <t>Source type</t>
  </si>
  <si>
    <t>REQ-INT-7</t>
  </si>
  <si>
    <t>PRD</t>
  </si>
  <si>
    <t>INT</t>
  </si>
  <si>
    <t>The platform MUST authenticate all human users via Boeing's Entra ID (GCC High) federation; no platform-specific user stores.</t>
  </si>
  <si>
    <t>main.tf and identities.tf: Entra group administration, Azure RBAC, disabled local accounts, OIDC, Workload Identity, and user-assigned identities.</t>
  </si>
  <si>
    <t>None for module scope.</t>
  </si>
  <si>
    <t>prd-doc-section-10.md:94</t>
  </si>
  <si>
    <t>REQ-INT-9</t>
  </si>
  <si>
    <t>Workload identity (Entra Workload ID) MUST be the mechanism for pod-to-cloud-service authentication; integration MUST be seamless for onboarded applications.</t>
  </si>
  <si>
    <t>prd-doc-section-10.md:96</t>
  </si>
  <si>
    <t>REQ-INT-27</t>
  </si>
  <si>
    <t>All Azure service integrations MUST authenticate via workload identity (Entra Workload ID) or managed identity; no static credentials.</t>
  </si>
  <si>
    <t>prd-doc-section-10.md:247</t>
  </si>
  <si>
    <t>REQ-INT-34</t>
  </si>
  <si>
    <t>Cross-subscription Azure connectivity MUST use Private Endpoints with workload identity authentication.</t>
  </si>
  <si>
    <t>prd-doc-section-10.md:287</t>
  </si>
  <si>
    <t>REQ-MIG-26</t>
  </si>
  <si>
    <t>MIG</t>
  </si>
  <si>
    <t>Data migration is application-team owned; the platform provides storage infrastructure (CSI, backup, Private Endpoint connectivity) but does not execute data migrations.</t>
  </si>
  <si>
    <t>main.tf: selectable Blob/Disk/File CSI and snapshot controller; stateful profile enforces Disk CSI and snapshots.</t>
  </si>
  <si>
    <t>StorageClasses, application data design, restore tests, and backup resources remain external.</t>
  </si>
  <si>
    <t>prd-doc-section-11.md:304</t>
  </si>
  <si>
    <t>REQ-ACC-8</t>
  </si>
  <si>
    <t>ACC</t>
  </si>
  <si>
    <t>All mandatory security controls (default-deny, workload identity, image admission, etcd encryption, PSA enforcement, audit logging) MUST be demonstrably operational before security acceptance.</t>
  </si>
  <si>
    <t>prd-doc-section-13.md:96</t>
  </si>
  <si>
    <t>REQ-FUNC-2</t>
  </si>
  <si>
    <t>FUNC</t>
  </si>
  <si>
    <t>The platform MUST support StatefulSets with CSI persistent volumes for stateful workloads requiring identity-bound durable storage.</t>
  </si>
  <si>
    <t>prd-doc-section-3.md:68</t>
  </si>
  <si>
    <t>REQ-FUNC-13</t>
  </si>
  <si>
    <t>Subsequent phases MUST add production-grade support for stateful (StatefulSet + CSI + backup), batch (Job/CronJob), and event-driven (KEDA) workloads as platform maturity increases.</t>
  </si>
  <si>
    <t>main.tf/variables.tf: Manual autoscaling and AKS NAP contracts plus KEDA/VPA add-on controls.</t>
  </si>
  <si>
    <t>NAP NodePool and AKSNodeClass policies remain GitOps-owned.</t>
  </si>
  <si>
    <t>prd-doc-section-3.md:146</t>
  </si>
  <si>
    <t>REQ-FUNC-48</t>
  </si>
  <si>
    <t>The platform MUST offer named, cloud-agnostic StorageClasses (platform-standard, platform-high-iops, platform-shared) mapped to AKS storage tiers in Phase 2.</t>
  </si>
  <si>
    <t>prd-doc-section-3.md:413</t>
  </si>
  <si>
    <t>REQ-FUNC-49</t>
  </si>
  <si>
    <t>Persistent volumes MUST be provisioned dynamically via CSI drivers; VolumeSnapshot MUST be enabled for point-in-time recovery.</t>
  </si>
  <si>
    <t>prd-doc-section-3.md:414</t>
  </si>
  <si>
    <t>REQ-FUNC-53</t>
  </si>
  <si>
    <t>Default-deny NetworkPolicy MUST be the baseline for both ingress and egress; a platform-managed allow-list MUST cover required system traffic (DNS, registry, telemetry, control plane).</t>
  </si>
  <si>
    <t>No direct implementation evidence found in the AKS module.</t>
  </si>
  <si>
    <t>Confirm owner and implement in the appropriate module or platform workstream.</t>
  </si>
  <si>
    <t>prd-doc-section-3.md:441</t>
  </si>
  <si>
    <t>REQ-FUNC-56</t>
  </si>
  <si>
    <t>Workload identity federation (ServiceAccount → Entra Workload ID) MUST be the mandatory pattern; static cloud credentials in pods MUST be prohibited.</t>
  </si>
  <si>
    <t>prd-doc-section-3.md:471</t>
  </si>
  <si>
    <t>REQ-FUNC-57</t>
  </si>
  <si>
    <t>Secrets MUST be consumed via External Secrets Operator or Secrets Store CSI Driver, backed by Azure Key Vault, accessed with workload identity. Design MUST be Vault-compatible for future migration.</t>
  </si>
  <si>
    <t>prd-doc-section-3.md:472</t>
  </si>
  <si>
    <t>REQ-FUNC-58</t>
  </si>
  <si>
    <t>Admission control MUST enforce image signing, scanning results, and registry allow-lists at deploy time via policy-as-code (Kyverno/Gatekeeper + Azure Policy).</t>
  </si>
  <si>
    <t>prd-doc-section-3.md:473</t>
  </si>
  <si>
    <t>REQ-NFR-7</t>
  </si>
  <si>
    <t>NFR</t>
  </si>
  <si>
    <t>The platform MUST support concurrent access by platform operators and application teams without API server throttling under normal load.</t>
  </si>
  <si>
    <t>prd-doc-section-4.md:82</t>
  </si>
  <si>
    <t>REQ-NFR-9</t>
  </si>
  <si>
    <t>End-user traffic scaling is application-owned; the platform MUST provide HPA, KEDA, and node autoscaling so application teams can meet their own concurrency targets.</t>
  </si>
  <si>
    <t>prd-doc-section-4.md:84</t>
  </si>
  <si>
    <t>REQ-NFR-15</t>
  </si>
  <si>
    <t>Node autoscaling MUST be configured per node pool with explicit min/max bounds and scale-down delay to prevent thrash.</t>
  </si>
  <si>
    <t>prd-doc-section-4.md:159</t>
  </si>
  <si>
    <t>REQ-NFR-16</t>
  </si>
  <si>
    <t>KEDA MUST be available for event-driven workloads requiring scale-to-zero or external-metric-based scaling.</t>
  </si>
  <si>
    <t>prd-doc-section-4.md:160</t>
  </si>
  <si>
    <t>REQ-NFR-20</t>
  </si>
  <si>
    <t>Multiple node pool instance families MUST be available (general-purpose, memory-optimized, compute-optimized, GPU) so workloads can be placed on appropriately sized hardware.</t>
  </si>
  <si>
    <t>prd-doc-section-4.md:182</t>
  </si>
  <si>
    <t>REQ-NFR-25</t>
  </si>
  <si>
    <t>Node autoscaling policies (min/max per pool, scale-down delay, utilization threshold) MUST be defined per node pool and per environment.</t>
  </si>
  <si>
    <t>prd-doc-section-4.md:245</t>
  </si>
  <si>
    <t>REQ-NFR-28</t>
  </si>
  <si>
    <t>Production clusters MUST use AKS Standard tier (minimum) to obtain a financially-backed control-plane SLA; Premium/LTS tier for highest-criticality workloads.</t>
  </si>
  <si>
    <t>prd-doc-section-4.md:279</t>
  </si>
  <si>
    <t>REQ-NFR-29</t>
  </si>
  <si>
    <t>Platform SLIs/SLOs with error budgets MUST be defined during Phase 1, set realistically against the AKS managed SLA ceiling, and tracked uniformly via the observability stack.</t>
  </si>
  <si>
    <t>diagnostics.tf/main.tf: approved AKS diagnostics plus optional Log Analytics, Container Insights, Prometheus, and Defender integrations.</t>
  </si>
  <si>
    <t>External workspaces, alerting, dashboards, SIEM routing, and retention policy remain external.</t>
  </si>
  <si>
    <t>prd-doc-section-4.md:280</t>
  </si>
  <si>
    <t>REQ-NFR-47</t>
  </si>
  <si>
    <t>The platform MUST use AKS maintenance windows to schedule upgrades during low-impact periods, and maintenance exclusions to protect change-freeze windows.</t>
  </si>
  <si>
    <t>main.tf/variables.tf: Kubernetes version, upgrade channels, support plan, and maintenance windows are explicit and validated.</t>
  </si>
  <si>
    <t>Provider-backed environment plans and operational rollout remain required.</t>
  </si>
  <si>
    <t>prd-doc-section-4.md:427</t>
  </si>
  <si>
    <t>REQ-NFR-51</t>
  </si>
  <si>
    <t>Patch status (node image age, Kubernetes version, base image version) MUST be visible in the observability stack and included in parity/drift reporting (SOW P2-M7).</t>
  </si>
  <si>
    <t>prd-doc-section-4.md:446</t>
  </si>
  <si>
    <t>REQ-ARCH-2</t>
  </si>
  <si>
    <t>ARCH</t>
  </si>
  <si>
    <t>The AKS deployment MUST use Azure Government regions that support ITAR/FedRAMP High compliance and ExpressRoute connectivity to BEN.</t>
  </si>
  <si>
    <t>prd-doc-section-5.md:41</t>
  </si>
  <si>
    <t>REQ-ARCH-5</t>
  </si>
  <si>
    <t>Clusters MUST stay within the AKS supported-version window; version drift MUST be detected by automated parity/drift monitoring and alerted.</t>
  </si>
  <si>
    <t>prd-doc-section-5.md:71</t>
  </si>
  <si>
    <t>REQ-ARCH-7</t>
  </si>
  <si>
    <t>AKS auto-upgrade channels and maintenance windows MUST be configured per environment; production clusters MUST NOT auto-upgrade without prior validation in non-production.</t>
  </si>
  <si>
    <t>prd-doc-section-5.md:73</t>
  </si>
  <si>
    <t>REQ-ARCH-8</t>
  </si>
  <si>
    <t>AKS Premium/LTS tier SHOULD be used for Tier 0/1 workloads requiring extended version stability.</t>
  </si>
  <si>
    <t>prd-doc-section-5.md:74</t>
  </si>
  <si>
    <t>REQ-ARCH-16</t>
  </si>
  <si>
    <t>Node pool instance types MUST be validated for availability in the target Azure Government region before deployment.</t>
  </si>
  <si>
    <t>prd-doc-section-5.md:136</t>
  </si>
  <si>
    <t>REQ-ARCH-17</t>
  </si>
  <si>
    <t>Azure Linux (Mariner) SHOULD be the default node OS for AKS; Ubuntu MAY be used where specific package requirements exist.</t>
  </si>
  <si>
    <t>prd-doc-section-5.md:162</t>
  </si>
  <si>
    <t>REQ-ARCH-18</t>
  </si>
  <si>
    <t>Worker node OS images MUST be updated automatically via the AKS node-image upgrade channel within defined maintenance windows.</t>
  </si>
  <si>
    <t>prd-doc-section-5.md:163</t>
  </si>
  <si>
    <t>REQ-ARCH-21</t>
  </si>
  <si>
    <t>The platform MUST use containerd as the container runtime (AKS default); OCI-compliant images MUST be the standard.</t>
  </si>
  <si>
    <t>prd-doc-section-5.md:188</t>
  </si>
  <si>
    <t>REQ-ARCH-33</t>
  </si>
  <si>
    <t>A service mesh MUST NOT be deployed by default; it is adopted only where L7 authorization, mTLS between specific services, or advanced traffic management is a validated requirement.</t>
  </si>
  <si>
    <t>Optional AKS Istio add-on configuration is supported.</t>
  </si>
  <si>
    <t>Mesh policy, certificates, AuthorizationPolicy, and application adoption remain external.</t>
  </si>
  <si>
    <t>prd-doc-section-5.md:281</t>
  </si>
  <si>
    <t>REQ-ARCH-34</t>
  </si>
  <si>
    <t>The boundary between NetworkPolicy (L3/L4) and service mesh (L7/identity) MUST be explicitly documented — no overlap or gap between enforcement layers.</t>
  </si>
  <si>
    <t>prd-doc-section-5.md:282</t>
  </si>
  <si>
    <t>REQ-ARCH-35</t>
  </si>
  <si>
    <t>If a service mesh is required, the selection MUST be evaluated during Phase 1 bake-off (AKS Istio add-on vs Cilium L7 vs self-managed).</t>
  </si>
  <si>
    <t>main.tf: Azure CNI Overlay with Cilium data plane and network policy is enforced.</t>
  </si>
  <si>
    <t>Runtime default-deny policy remains GitOps-owned.</t>
  </si>
  <si>
    <t>prd-doc-section-5.md:283</t>
  </si>
  <si>
    <t>REQ-ARCH-36</t>
  </si>
  <si>
    <t>Cilium L7/FQDN policy capabilities SHOULD be used in preference to a full sidecar mesh where they satisfy the requirement with lower operational complexity.</t>
  </si>
  <si>
    <t>prd-doc-section-5.md:284</t>
  </si>
  <si>
    <t>REQ-ARCH-39</t>
  </si>
  <si>
    <t>Egress MUST route through managed NAT Gateway with static egress IPs (for partner/SaaS allow-listing) and centralized inspection (Azure Firewall) at the transit boundary.</t>
  </si>
  <si>
    <t>prd-doc-section-5.md:318</t>
  </si>
  <si>
    <t>REQ-ARCH-40</t>
  </si>
  <si>
    <t>Egress to cloud-managed services (ACR, Key Vault, Monitor, Log Analytics) MUST use Private Endpoints; public endpoints for these services MUST be disabled.</t>
  </si>
  <si>
    <t>iam.tf: existing ACR integration grants least-privilege AcrPull to the kubelet identity.</t>
  </si>
  <si>
    <t>Registry creation, replication, signing, scanning, and private endpoint remain external.</t>
  </si>
  <si>
    <t>prd-doc-section-5.md:319</t>
  </si>
  <si>
    <t>REQ-ARCH-41</t>
  </si>
  <si>
    <t>FQDN-based egress filtering MUST be enforced (via Azure Firewall and/or Cilium FQDN policy) for all outbound traffic beyond private endpoints.</t>
  </si>
  <si>
    <t>prd-doc-section-5.md:320</t>
  </si>
  <si>
    <t>REQ-ARCH-42</t>
  </si>
  <si>
    <t>Internal L4 load balancing MUST use Azure Standard Load Balancer with private IP (no public IP); health probes MUST be configured for all backend pools.</t>
  </si>
  <si>
    <t>prd-doc-section-5.md:352</t>
  </si>
  <si>
    <t>REQ-ARCH-45</t>
  </si>
  <si>
    <t>In-cluster load balancing SHOULD use Cilium eBPF (kube-proxy replacement) where the selected CNI supports it, for improved performance and observability.</t>
  </si>
  <si>
    <t>prd-doc-section-5.md:355</t>
  </si>
  <si>
    <t>REQ-ARCH-50</t>
  </si>
  <si>
    <t>A master IPAM MUST allocate non-overlapping supernets per region/VNet/subnet, with dedicated pod and service ranges per cluster — managed as IaC (Terraform).</t>
  </si>
  <si>
    <t>prd-doc-section-5.md:412</t>
  </si>
  <si>
    <t>REQ-ARCH-53</t>
  </si>
  <si>
    <t>Pod/service CIDR ranges MUST be sized for projected peak (max-pods-per-node × max-nodes × growth multiplier) within the provider's limits.</t>
  </si>
  <si>
    <t>prd-doc-section-5.md:415</t>
  </si>
  <si>
    <t>REQ-ARCH-55</t>
  </si>
  <si>
    <t>The platform MUST offer named StorageClasses (platform-standard, platform-high-iops, platform-shared) mapped to AKS storage tiers; names MUST be cloud-agnostic.</t>
  </si>
  <si>
    <t>prd-doc-section-5.md:450</t>
  </si>
  <si>
    <t>REQ-ARCH-59</t>
  </si>
  <si>
    <t>All persistent volumes MUST be provisioned via CSI drivers (Azure Disk CSI, Azure Files CSI); in-tree volume plugins MUST NOT be used.</t>
  </si>
  <si>
    <t>prd-doc-section-5.md:479</t>
  </si>
  <si>
    <t>REQ-ARCH-60</t>
  </si>
  <si>
    <t>VolumeSnapshot MUST be enabled for block storage (Azure Disk CSI) to support point-in-time recovery and cloning.</t>
  </si>
  <si>
    <t>prd-doc-section-5.md:480</t>
  </si>
  <si>
    <t>REQ-ARCH-63</t>
  </si>
  <si>
    <t>Persistent volume backup MUST be configured via VolumeSnapshot and/or Azure Backup for AKS, with frequency per criticality tier.</t>
  </si>
  <si>
    <t>prd-doc-section-5.md:511</t>
  </si>
  <si>
    <t>REQ-SEC-2</t>
  </si>
  <si>
    <t>SEC</t>
  </si>
  <si>
    <t>Multi-factor authentication MUST be enforced for all human access to cluster resources via Boeing SSO/badge and Entra Conditional Access.</t>
  </si>
  <si>
    <t>prd-doc-section-6.md:48</t>
  </si>
  <si>
    <t>REQ-SEC-5</t>
  </si>
  <si>
    <t>Access MUST be separated into distinct planes: cluster administration, platform operations, and application access — mapped to Entra ID groups, never individual users.</t>
  </si>
  <si>
    <t>prd-doc-section-6.md:74</t>
  </si>
  <si>
    <t>REQ-SEC-8</t>
  </si>
  <si>
    <t>Privileged roles (cluster admin, platform operator) MUST use Entra PIM for just-in-time, time-bound elevation; standing privileged access MUST be minimized.</t>
  </si>
  <si>
    <t>prd-doc-section-6.md:77</t>
  </si>
  <si>
    <t>REQ-SEC-13</t>
  </si>
  <si>
    <t>Workload identity federation (Kubernetes ServiceAccount → Entra Workload ID) MUST be the mandatory pattern for pod-to-cloud authentication.</t>
  </si>
  <si>
    <t>prd-doc-section-6.md:130</t>
  </si>
  <si>
    <t>REQ-SEC-15</t>
  </si>
  <si>
    <t>Each workload identity binding MUST follow least privilege — scoped to the specific cloud resources the workload requires, not broad subscription/account access.</t>
  </si>
  <si>
    <t>prd-doc-section-6.md:132</t>
  </si>
  <si>
    <t>REQ-SEC-16</t>
  </si>
  <si>
    <t>Workload identity patterns MUST be designed for portability (SA annotation-based) so the same application manifest works across CSPs with only identity binding changes.</t>
  </si>
  <si>
    <t>prd-doc-section-6.md:133</t>
  </si>
  <si>
    <t>REQ-SEC-18</t>
  </si>
  <si>
    <t>A platform-managed allow-list MUST cover required system traffic (DNS, registry, telemetry, control plane, secrets, metadata) so default-deny does not break cluster operation.</t>
  </si>
  <si>
    <t>AKS Key Vault CSI/rotation is supported and a PKI integration contract is exposed.</t>
  </si>
  <si>
    <t>Key Vault, certificates, issuers, trust distribution, and workload bindings remain external.</t>
  </si>
  <si>
    <t>prd-doc-section-6.md:165</t>
  </si>
  <si>
    <t>REQ-SEC-26</t>
  </si>
  <si>
    <t>Pod-to-pod encryption (Cilium WireGuard or equivalent) SHOULD be enabled for production workloads; MUST be enabled where compliance frameworks require encryption of all internal traffic.</t>
  </si>
  <si>
    <t>prd-doc-section-6.md:207</t>
  </si>
  <si>
    <t>REQ-SEC-28</t>
  </si>
  <si>
    <t>The platform MUST implement zero-trust principles: workload identity for all service authentication, default-deny networking, least-privilege RBAC, and assumption-of-breach monitoring.</t>
  </si>
  <si>
    <t>prd-doc-section-6.md:225</t>
  </si>
  <si>
    <t>REQ-SEC-30</t>
  </si>
  <si>
    <t>The platform MUST log and monitor all access patterns (API server audit, network flows, identity token exchanges) to detect anomalous behavior consistent with breach.</t>
  </si>
  <si>
    <t>prd-doc-section-6.md:227</t>
  </si>
  <si>
    <t>REQ-SEC-35</t>
  </si>
  <si>
    <t>Workloads MUST consume secrets via External Secrets Operator or Secrets Store CSI Driver, accessed with workload identity — standardized pattern across all onboarded applications.</t>
  </si>
  <si>
    <t>prd-doc-section-6.md:283</t>
  </si>
  <si>
    <t>REQ-SEC-37</t>
  </si>
  <si>
    <t>Secret rotation MUST be automated where possible (Key Vault + Event Grid for near-expiry triggers); manual rotation procedures MUST be documented for secrets that cannot be auto-rotated.</t>
  </si>
  <si>
    <t>prd-doc-section-6.md:285</t>
  </si>
  <si>
    <t>REQ-SEC-57</t>
  </si>
  <si>
    <t>Admission control tooling (Kyverno or Gatekeeper) MUST be portable across CSPs; Azure Policy for AKS provides the cloud-native enforcement layer alongside.</t>
  </si>
  <si>
    <t>prd-doc-section-6.md:418</t>
  </si>
  <si>
    <t>REQ-SEC-65</t>
  </si>
  <si>
    <t>Kubernetes audit logging MUST be enabled on every cluster with all API server events captured and centralized in Log Analytics.</t>
  </si>
  <si>
    <t>prd-doc-section-6.md:508</t>
  </si>
  <si>
    <t>REQ-SVC-10</t>
  </si>
  <si>
    <t>SVC</t>
  </si>
  <si>
    <t>A centralized ACR (Premium tier) MUST be the approved container registry for Phase 2; application teams receive dedicated repositories with RBAC.</t>
  </si>
  <si>
    <t>prd-doc-section-7.md:116</t>
  </si>
  <si>
    <t>REQ-SVC-21</t>
  </si>
  <si>
    <t>All logs (application, cluster, node, audit) MUST be collected and centralized in Azure Log Analytics (or the selected observability backend per bake-off).</t>
  </si>
  <si>
    <t>prd-doc-section-7.md:210</t>
  </si>
  <si>
    <t>REQ-SVC-36</t>
  </si>
  <si>
    <t>The platform MUST provide private endpoint connectivity patterns and workload identity authentication for supported Azure managed database services.</t>
  </si>
  <si>
    <t>prd-doc-section-7.md:323</t>
  </si>
  <si>
    <t>REQ-SVC-39</t>
  </si>
  <si>
    <t>The platform MUST provide private endpoint + workload identity connectivity patterns for Azure-managed messaging services (Service Bus, Event Hubs).</t>
  </si>
  <si>
    <t>prd-doc-section-7.md:343</t>
  </si>
  <si>
    <t>REQ-SVC-42</t>
  </si>
  <si>
    <t>If pilot workloads consume AI/ML services, the platform MUST provide private endpoint + workload identity connectivity patterns consistent with other PaaS services.</t>
  </si>
  <si>
    <t>prd-doc-section-7.md:376</t>
  </si>
  <si>
    <t>REQ-ABS-2</t>
  </si>
  <si>
    <t>ABS</t>
  </si>
  <si>
    <t>Node pool taxonomy and labeling MUST follow Kubernetes-standard topology labels (topology.kubernetes.io/zone, kubernetes.io/os) so scheduling constraints are portable.</t>
  </si>
  <si>
    <t>prd-doc-section-8.md:37</t>
  </si>
  <si>
    <t>REQ-ABS-3</t>
  </si>
  <si>
    <t>Autoscaling MUST be configured at the Kubernetes layer (HPA, KEDA) so application scaling configuration is identical regardless of the underlying cloud's node-provisioning mechanism.</t>
  </si>
  <si>
    <t>prd-doc-section-8.md:38</t>
  </si>
  <si>
    <t>REQ-ABS-10</t>
  </si>
  <si>
    <t>Workload identity MUST be abstracted so application teams annotate a ServiceAccount; the cloud-specific IAM binding is platform-team-configured and not embedded in application manifests.</t>
  </si>
  <si>
    <t>prd-doc-section-8.md:99</t>
  </si>
  <si>
    <t>REQ-ABS-11</t>
  </si>
  <si>
    <t>Secret access MUST use ExternalSecret CRDs (or CSI mounts) with cloud-agnostic resource names; the backend vault differs per cloud but the application interface is identical.</t>
  </si>
  <si>
    <t>prd-doc-section-8.md:100</t>
  </si>
  <si>
    <t>REQ-ABS-13</t>
  </si>
  <si>
    <t>Azure Government (AKS) MUST be the Phase 2 implementation target; all patterns MUST be operational on AKS before CSP expansion is considered.</t>
  </si>
  <si>
    <t>prd-doc-section-8.md:135</t>
  </si>
  <si>
    <t>REQ-ABS-18</t>
  </si>
  <si>
    <t>Cross-subscription connectivity within Azure Gov (database access, shared services) MUST use Private Endpoints with workload identity authentication.</t>
  </si>
  <si>
    <t>prd-doc-section-8.md:168</t>
  </si>
  <si>
    <t>REQ-ABS-25</t>
  </si>
  <si>
    <t>Platform abstractions (cloud-agnostic StorageClasses, Gateway API, ExternalSecrets, workload identity annotations) MUST minimize the effort required for future cross-CSP migration by avoiding cloud-specific application-layer lock-in.</t>
  </si>
  <si>
    <t>prd-doc-section-8.md:212</t>
  </si>
  <si>
    <t>REQ-ABS-27</t>
  </si>
  <si>
    <t>All integrated managed services MUST be accessed via Private Endpoints + workload identity; no public endpoints or static credentials.</t>
  </si>
  <si>
    <t>prd-doc-section-8.md:248</t>
  </si>
  <si>
    <t>REQ-ABS-31</t>
  </si>
  <si>
    <t>Admission control MUST use portable tooling (Kyverno or Gatekeeper) so policies are reusable across CSPs; Azure Policy for AKS provides an additional native enforcement layer.</t>
  </si>
  <si>
    <t>prd-doc-section-8.md:270</t>
  </si>
  <si>
    <t>REQ-ABS-35</t>
  </si>
  <si>
    <t>Mandatory cost-allocation tags (cost-center, application-id, environment, owner, esat-id) MUST be enforced at resource creation via Azure Policy; resources without required tags MUST be blocked.</t>
  </si>
  <si>
    <t>variables.tf: five mandatory KaaS JSON governance tags with JSON and 256-character validation.</t>
  </si>
  <si>
    <t>Replace example placeholders and enforce field-level accuracy through policy/pipeline checks.</t>
  </si>
  <si>
    <t>prd-doc-section-8.md:310</t>
  </si>
  <si>
    <t>REQ-OPS-39</t>
  </si>
  <si>
    <t>OPS</t>
  </si>
  <si>
    <t>Secrets MUST NOT be stored in Git; secrets are managed externally (Key Vault) and synced into clusters via External Secrets Operator or CSI Driver.</t>
  </si>
  <si>
    <t>prd-doc-section-9.md:331</t>
  </si>
  <si>
    <t>REQ-OPS-56</t>
  </si>
  <si>
    <t>Vendor escalation (Microsoft AKS support) MUST have a defined engagement process with required information (cluster ID, resource group, symptoms, timeline).</t>
  </si>
  <si>
    <t>prd-doc-section-9.md:460</t>
  </si>
  <si>
    <t>AD-6</t>
  </si>
  <si>
    <t>Blueprint</t>
  </si>
  <si>
    <t>1. Open Architectural Decisions (Must Resolve Before Phase 2 Build)</t>
  </si>
  <si>
    <t>AD-6 | Runtime security tooling | Prisma / Sysdig / Falco / Aqua / Defender | Phase 1 bake-off (M9) | P2-M13 | Phase 1 M9</t>
  </si>
  <si>
    <t>blueprint-16-gaps-decisions.md:17</t>
  </si>
  <si>
    <t>WL-B</t>
  </si>
  <si>
    <t>3. GAP-CALLOUT Items (Acknowledged, No Fix Planned)</t>
  </si>
  <si>
    <t>WL-B | Event-driven mechanics diverge | Standardize on KEDA; accept native as optimization</t>
  </si>
  <si>
    <t>blueprint-16-gaps-decisions.md:108</t>
  </si>
  <si>
    <t>CMP-A</t>
  </si>
  <si>
    <t>CMP-A | Node provisioning tech differs per cloud | Accept per-cloud autoscaler; standardize HPA/KEDA</t>
  </si>
  <si>
    <t>blueprint-16-gaps-decisions.md:115</t>
  </si>
  <si>
    <t>BP-007</t>
  </si>
  <si>
    <t>3. Zone Redundancy</t>
  </si>
  <si>
    <t>Production | Multi-zone (implicit with AKS Standard/Premium) | Multi-zone (zone-spread topology) | MUST</t>
  </si>
  <si>
    <t>Stateful profile requires at least two system-pool zones; callers select zones.</t>
  </si>
  <si>
    <t>Azure control-plane SLA/tier and workload topology must be validated in deployment.</t>
  </si>
  <si>
    <t>blueprint-2-cluster-topology.md:57</t>
  </si>
  <si>
    <t>BP-013</t>
  </si>
  <si>
    <t>7. Service Account Governance</t>
  </si>
  <si>
    <t>Application-specific ServiceAccounts MUST be created explicitly for workload identity</t>
  </si>
  <si>
    <t>blueprint-4-identity-access.md:352</t>
  </si>
  <si>
    <t>BP-016</t>
  </si>
  <si>
    <t>6.2 Per-Cloud Implementation</t>
  </si>
  <si>
    <t>Terraform module MUST enable KMS-backed etcd encryption at cluster creation. This is not on by default in all configurations.</t>
  </si>
  <si>
    <t>blueprint-5-secrets-config.md:339</t>
  </si>
  <si>
    <t>BP-017</t>
  </si>
  <si>
    <t>2.1 Decision (CRITICAL — Architecture Review Finding 4)</t>
  </si>
  <si>
    <t>The platform MUST select ONE in-cluster admission engine. Running Kyverno + Gatekeeper + Azure Policy for AKS simultaneously is architecturally invalid.</t>
  </si>
  <si>
    <t>blueprint-6-security-compliance.md:44</t>
  </si>
  <si>
    <t>BP-019</t>
  </si>
  <si>
    <t>7.1 Day-0 Configuration (Terraform-Enforced)</t>
  </si>
  <si>
    <t>AKS Diagnostic Settings MUST be enabled at cluster creation:</t>
  </si>
  <si>
    <t>blueprint-6-security-compliance.md:204</t>
  </si>
  <si>
    <t>NS-007</t>
  </si>
  <si>
    <t>Naming Standard</t>
  </si>
  <si>
    <t>Resource Group</t>
  </si>
  <si>
    <t>Resource group follows kaas-&lt;org&gt;-&lt;env&gt;-&lt;region&gt;-rg</t>
  </si>
  <si>
    <t>Naming items are intentionally marked outstanding per user direction.</t>
  </si>
  <si>
    <t>Implement and validate naming standard.</t>
  </si>
  <si>
    <t>azure_naming_standards.md</t>
  </si>
  <si>
    <t>NS-008</t>
  </si>
  <si>
    <t>AKS</t>
  </si>
  <si>
    <t>AKS cluster follows kaas-&lt;org&gt;-&lt;env&gt;-&lt;region&gt;-aks</t>
  </si>
  <si>
    <t>NS-009</t>
  </si>
  <si>
    <t>AKS-managed node resource group follows MC_&lt;resource-group&gt;_&lt;cluster&gt;_&lt;region&gt;</t>
  </si>
  <si>
    <t>NS-010</t>
  </si>
  <si>
    <t>Managed Identity</t>
  </si>
  <si>
    <t>Managed identity follows kaas-&lt;org&gt;-&lt;env&gt;-&lt;purpose&gt;-&lt;region&gt;-mi</t>
  </si>
  <si>
    <t>NS-011</t>
  </si>
  <si>
    <t>Node Pool</t>
  </si>
  <si>
    <t>Node pool uses &lt;app&gt;&lt;type&gt;&lt;index&gt;, lowercase alphanumeric, no hyphens, maximum 12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</si>
</sst>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sz val="10"/>
      <name val="Carlito"/>
    </font>
    <font>
      <b/>
      <sz val="10"/>
      <color rgb="FF1F4E7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D9D2E9"/>
      </patternFill>
    </fill>
  </fills>
  <borders count="16">
    <border>
      <left/>
      <right/>
      <top/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5" xfId="0" applyFill="1" applyBorder="1"/>
    <xf numFmtId="0" fontId="3" fillId="4" borderId="0" xfId="0" applyFont="1" applyFill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4">
    <dxf>
      <font>
        <b/>
        <color rgb="FF5F497A"/>
      </font>
      <fill>
        <patternFill patternType="solid">
          <bgColor rgb="FFD9D2E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215E21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sRequirementsTable" displayName="AksRequirementsTable" ref="A11:I102" totalsRowShown="0">
  <tableColumns count="9">
    <tableColumn id="1" xr3:uid="{00000000-0010-0000-0000-000001000000}" name="Requirement ID"/>
    <tableColumn id="2" xr3:uid="{00000000-0010-0000-0000-000002000000}" name="Source group"/>
    <tableColumn id="3" xr3:uid="{00000000-0010-0000-0000-000003000000}" name="Category / Section"/>
    <tableColumn id="4" xr3:uid="{00000000-0010-0000-0000-000004000000}" name="Requirement"/>
    <tableColumn id="5" xr3:uid="{00000000-0010-0000-0000-000005000000}" name="Status"/>
    <tableColumn id="6" xr3:uid="{00000000-0010-0000-0000-000006000000}" name="Implementation evidence"/>
    <tableColumn id="7" xr3:uid="{00000000-0010-0000-0000-000007000000}" name="What is left"/>
    <tableColumn id="8" xr3:uid="{00000000-0010-0000-0000-000008000000}" name="Source reference"/>
    <tableColumn id="9" xr3:uid="{00000000-0010-0000-0000-000009000000}" name="Sour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showGridLines="0" tabSelected="1" workbookViewId="0">
      <selection activeCell="E30" sqref="D30:E30"/>
    </sheetView>
  </sheetViews>
  <sheetFormatPr baseColWidth="10" defaultColWidth="8.83203125" defaultRowHeight="14"/>
  <cols>
    <col min="1" max="2" width="17" customWidth="1"/>
    <col min="3" max="3" width="24" customWidth="1"/>
    <col min="4" max="4" width="62" customWidth="1"/>
    <col min="5" max="5" width="22" customWidth="1"/>
    <col min="6" max="7" width="48" customWidth="1"/>
    <col min="8" max="8" width="34" customWidth="1"/>
    <col min="9" max="9" width="18" customWidth="1"/>
  </cols>
  <sheetData>
    <row r="1" spans="1:9" ht="30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ht="30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</row>
    <row r="4" spans="1:9">
      <c r="A4" s="1" t="s">
        <v>2</v>
      </c>
      <c r="B4" s="1" t="s">
        <v>3</v>
      </c>
    </row>
    <row r="5" spans="1:9" ht="22" customHeight="1">
      <c r="A5" s="2" t="s">
        <v>4</v>
      </c>
      <c r="B5" s="3">
        <f>COUNTA($A$12:$A$500)</f>
        <v>91</v>
      </c>
    </row>
    <row r="6" spans="1:9" ht="22" customHeight="1">
      <c r="A6" s="6" t="s">
        <v>5</v>
      </c>
      <c r="B6" s="4">
        <f>COUNTIF($E$12:$E$500,"Done")</f>
        <v>47</v>
      </c>
    </row>
    <row r="7" spans="1:9" ht="22" customHeight="1">
      <c r="A7" s="7" t="s">
        <v>6</v>
      </c>
      <c r="B7" s="4">
        <f>COUNTIF($E$12:$E$500,"Partial")</f>
        <v>21</v>
      </c>
    </row>
    <row r="8" spans="1:9" ht="22" customHeight="1">
      <c r="A8" s="8" t="s">
        <v>7</v>
      </c>
      <c r="B8" s="4">
        <f>COUNTIF($E$12:$E$500,"Needs to be done")</f>
        <v>23</v>
      </c>
    </row>
    <row r="9" spans="1:9" ht="22" customHeight="1">
      <c r="A9" s="9" t="s">
        <v>8</v>
      </c>
      <c r="B9" s="5">
        <f>COUNTIF($E$12:$E$500,"Out of module scope")</f>
        <v>0</v>
      </c>
    </row>
    <row r="11" spans="1:9" ht="28" customHeight="1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 s="10" t="s">
        <v>17</v>
      </c>
    </row>
    <row r="12" spans="1:9" ht="42">
      <c r="A12" s="17" t="s">
        <v>18</v>
      </c>
      <c r="B12" s="11" t="s">
        <v>19</v>
      </c>
      <c r="C12" s="11" t="s">
        <v>20</v>
      </c>
      <c r="D12" s="11" t="s">
        <v>21</v>
      </c>
      <c r="E12" s="11" t="s">
        <v>5</v>
      </c>
      <c r="F12" s="11" t="s">
        <v>22</v>
      </c>
      <c r="G12" s="11" t="s">
        <v>23</v>
      </c>
      <c r="H12" s="11" t="s">
        <v>24</v>
      </c>
      <c r="I12" s="12" t="s">
        <v>19</v>
      </c>
    </row>
    <row r="13" spans="1:9" ht="42">
      <c r="A13" s="18" t="s">
        <v>25</v>
      </c>
      <c r="B13" s="13" t="s">
        <v>19</v>
      </c>
      <c r="C13" s="13" t="s">
        <v>20</v>
      </c>
      <c r="D13" s="13" t="s">
        <v>26</v>
      </c>
      <c r="E13" s="13" t="s">
        <v>5</v>
      </c>
      <c r="F13" s="13" t="s">
        <v>22</v>
      </c>
      <c r="G13" s="13" t="s">
        <v>23</v>
      </c>
      <c r="H13" s="13" t="s">
        <v>27</v>
      </c>
      <c r="I13" s="14" t="s">
        <v>19</v>
      </c>
    </row>
    <row r="14" spans="1:9" ht="42">
      <c r="A14" s="18" t="s">
        <v>28</v>
      </c>
      <c r="B14" s="13" t="s">
        <v>19</v>
      </c>
      <c r="C14" s="13" t="s">
        <v>20</v>
      </c>
      <c r="D14" s="13" t="s">
        <v>29</v>
      </c>
      <c r="E14" s="13" t="s">
        <v>5</v>
      </c>
      <c r="F14" s="13" t="s">
        <v>22</v>
      </c>
      <c r="G14" s="13" t="s">
        <v>23</v>
      </c>
      <c r="H14" s="13" t="s">
        <v>30</v>
      </c>
      <c r="I14" s="14" t="s">
        <v>19</v>
      </c>
    </row>
    <row r="15" spans="1:9" ht="42">
      <c r="A15" s="18" t="s">
        <v>31</v>
      </c>
      <c r="B15" s="13" t="s">
        <v>19</v>
      </c>
      <c r="C15" s="13" t="s">
        <v>20</v>
      </c>
      <c r="D15" s="13" t="s">
        <v>32</v>
      </c>
      <c r="E15" s="13" t="s">
        <v>5</v>
      </c>
      <c r="F15" s="13" t="s">
        <v>22</v>
      </c>
      <c r="G15" s="13" t="s">
        <v>23</v>
      </c>
      <c r="H15" s="13" t="s">
        <v>33</v>
      </c>
      <c r="I15" s="14" t="s">
        <v>19</v>
      </c>
    </row>
    <row r="16" spans="1:9" ht="28">
      <c r="A16" s="18" t="s">
        <v>34</v>
      </c>
      <c r="B16" s="13" t="s">
        <v>19</v>
      </c>
      <c r="C16" s="13" t="s">
        <v>35</v>
      </c>
      <c r="D16" s="13" t="s">
        <v>36</v>
      </c>
      <c r="E16" s="13" t="s">
        <v>6</v>
      </c>
      <c r="F16" s="13" t="s">
        <v>37</v>
      </c>
      <c r="G16" s="13" t="s">
        <v>38</v>
      </c>
      <c r="H16" s="13" t="s">
        <v>39</v>
      </c>
      <c r="I16" s="14" t="s">
        <v>19</v>
      </c>
    </row>
    <row r="17" spans="1:9" ht="42">
      <c r="A17" s="18" t="s">
        <v>40</v>
      </c>
      <c r="B17" s="13" t="s">
        <v>19</v>
      </c>
      <c r="C17" s="13" t="s">
        <v>41</v>
      </c>
      <c r="D17" s="13" t="s">
        <v>42</v>
      </c>
      <c r="E17" s="13" t="s">
        <v>5</v>
      </c>
      <c r="F17" s="13" t="s">
        <v>22</v>
      </c>
      <c r="G17" s="13" t="s">
        <v>23</v>
      </c>
      <c r="H17" s="13" t="s">
        <v>43</v>
      </c>
      <c r="I17" s="14" t="s">
        <v>19</v>
      </c>
    </row>
    <row r="18" spans="1:9" ht="28">
      <c r="A18" s="18" t="s">
        <v>44</v>
      </c>
      <c r="B18" s="13" t="s">
        <v>19</v>
      </c>
      <c r="C18" s="13" t="s">
        <v>45</v>
      </c>
      <c r="D18" s="13" t="s">
        <v>46</v>
      </c>
      <c r="E18" s="13" t="s">
        <v>6</v>
      </c>
      <c r="F18" s="13" t="s">
        <v>37</v>
      </c>
      <c r="G18" s="13" t="s">
        <v>38</v>
      </c>
      <c r="H18" s="13" t="s">
        <v>47</v>
      </c>
      <c r="I18" s="14" t="s">
        <v>19</v>
      </c>
    </row>
    <row r="19" spans="1:9" ht="42">
      <c r="A19" s="18" t="s">
        <v>48</v>
      </c>
      <c r="B19" s="13" t="s">
        <v>19</v>
      </c>
      <c r="C19" s="13" t="s">
        <v>45</v>
      </c>
      <c r="D19" s="13" t="s">
        <v>49</v>
      </c>
      <c r="E19" s="13" t="s">
        <v>5</v>
      </c>
      <c r="F19" s="13" t="s">
        <v>50</v>
      </c>
      <c r="G19" s="13" t="s">
        <v>51</v>
      </c>
      <c r="H19" s="13" t="s">
        <v>52</v>
      </c>
      <c r="I19" s="14" t="s">
        <v>19</v>
      </c>
    </row>
    <row r="20" spans="1:9" ht="28">
      <c r="A20" s="18" t="s">
        <v>53</v>
      </c>
      <c r="B20" s="13" t="s">
        <v>19</v>
      </c>
      <c r="C20" s="13" t="s">
        <v>45</v>
      </c>
      <c r="D20" s="13" t="s">
        <v>54</v>
      </c>
      <c r="E20" s="13" t="s">
        <v>6</v>
      </c>
      <c r="F20" s="13" t="s">
        <v>37</v>
      </c>
      <c r="G20" s="13" t="s">
        <v>38</v>
      </c>
      <c r="H20" s="13" t="s">
        <v>55</v>
      </c>
      <c r="I20" s="14" t="s">
        <v>19</v>
      </c>
    </row>
    <row r="21" spans="1:9" ht="28">
      <c r="A21" s="18" t="s">
        <v>56</v>
      </c>
      <c r="B21" s="13" t="s">
        <v>19</v>
      </c>
      <c r="C21" s="13" t="s">
        <v>45</v>
      </c>
      <c r="D21" s="13" t="s">
        <v>57</v>
      </c>
      <c r="E21" s="13" t="s">
        <v>5</v>
      </c>
      <c r="F21" s="13" t="s">
        <v>50</v>
      </c>
      <c r="G21" s="13" t="s">
        <v>51</v>
      </c>
      <c r="H21" s="13" t="s">
        <v>58</v>
      </c>
      <c r="I21" s="14" t="s">
        <v>19</v>
      </c>
    </row>
    <row r="22" spans="1:9" ht="42">
      <c r="A22" s="18" t="s">
        <v>59</v>
      </c>
      <c r="B22" s="13" t="s">
        <v>19</v>
      </c>
      <c r="C22" s="13" t="s">
        <v>45</v>
      </c>
      <c r="D22" s="13" t="s">
        <v>60</v>
      </c>
      <c r="E22" s="13" t="s">
        <v>7</v>
      </c>
      <c r="F22" s="13" t="s">
        <v>61</v>
      </c>
      <c r="G22" s="13" t="s">
        <v>62</v>
      </c>
      <c r="H22" s="13" t="s">
        <v>63</v>
      </c>
      <c r="I22" s="14" t="s">
        <v>19</v>
      </c>
    </row>
    <row r="23" spans="1:9" ht="42">
      <c r="A23" s="18" t="s">
        <v>64</v>
      </c>
      <c r="B23" s="13" t="s">
        <v>19</v>
      </c>
      <c r="C23" s="13" t="s">
        <v>45</v>
      </c>
      <c r="D23" s="13" t="s">
        <v>65</v>
      </c>
      <c r="E23" s="13" t="s">
        <v>5</v>
      </c>
      <c r="F23" s="13" t="s">
        <v>22</v>
      </c>
      <c r="G23" s="13" t="s">
        <v>23</v>
      </c>
      <c r="H23" s="13" t="s">
        <v>66</v>
      </c>
      <c r="I23" s="14" t="s">
        <v>19</v>
      </c>
    </row>
    <row r="24" spans="1:9" ht="42">
      <c r="A24" s="18" t="s">
        <v>67</v>
      </c>
      <c r="B24" s="13" t="s">
        <v>19</v>
      </c>
      <c r="C24" s="13" t="s">
        <v>45</v>
      </c>
      <c r="D24" s="13" t="s">
        <v>68</v>
      </c>
      <c r="E24" s="13" t="s">
        <v>5</v>
      </c>
      <c r="F24" s="13" t="s">
        <v>22</v>
      </c>
      <c r="G24" s="13" t="s">
        <v>23</v>
      </c>
      <c r="H24" s="13" t="s">
        <v>69</v>
      </c>
      <c r="I24" s="14" t="s">
        <v>19</v>
      </c>
    </row>
    <row r="25" spans="1:9" ht="28">
      <c r="A25" s="18" t="s">
        <v>70</v>
      </c>
      <c r="B25" s="13" t="s">
        <v>19</v>
      </c>
      <c r="C25" s="13" t="s">
        <v>45</v>
      </c>
      <c r="D25" s="13" t="s">
        <v>71</v>
      </c>
      <c r="E25" s="13" t="s">
        <v>7</v>
      </c>
      <c r="F25" s="13" t="s">
        <v>61</v>
      </c>
      <c r="G25" s="13" t="s">
        <v>62</v>
      </c>
      <c r="H25" s="13" t="s">
        <v>72</v>
      </c>
      <c r="I25" s="14" t="s">
        <v>19</v>
      </c>
    </row>
    <row r="26" spans="1:9" ht="28">
      <c r="A26" s="18" t="s">
        <v>73</v>
      </c>
      <c r="B26" s="13" t="s">
        <v>19</v>
      </c>
      <c r="C26" s="13" t="s">
        <v>74</v>
      </c>
      <c r="D26" s="13" t="s">
        <v>75</v>
      </c>
      <c r="E26" s="13" t="s">
        <v>7</v>
      </c>
      <c r="F26" s="13" t="s">
        <v>61</v>
      </c>
      <c r="G26" s="13" t="s">
        <v>62</v>
      </c>
      <c r="H26" s="13" t="s">
        <v>76</v>
      </c>
      <c r="I26" s="14" t="s">
        <v>19</v>
      </c>
    </row>
    <row r="27" spans="1:9" ht="28">
      <c r="A27" s="18" t="s">
        <v>77</v>
      </c>
      <c r="B27" s="13" t="s">
        <v>19</v>
      </c>
      <c r="C27" s="13" t="s">
        <v>74</v>
      </c>
      <c r="D27" s="13" t="s">
        <v>78</v>
      </c>
      <c r="E27" s="13" t="s">
        <v>5</v>
      </c>
      <c r="F27" s="13" t="s">
        <v>50</v>
      </c>
      <c r="G27" s="13" t="s">
        <v>51</v>
      </c>
      <c r="H27" s="13" t="s">
        <v>79</v>
      </c>
      <c r="I27" s="14" t="s">
        <v>19</v>
      </c>
    </row>
    <row r="28" spans="1:9" ht="28">
      <c r="A28" s="18" t="s">
        <v>80</v>
      </c>
      <c r="B28" s="13" t="s">
        <v>19</v>
      </c>
      <c r="C28" s="13" t="s">
        <v>74</v>
      </c>
      <c r="D28" s="13" t="s">
        <v>81</v>
      </c>
      <c r="E28" s="13" t="s">
        <v>5</v>
      </c>
      <c r="F28" s="13" t="s">
        <v>50</v>
      </c>
      <c r="G28" s="13" t="s">
        <v>51</v>
      </c>
      <c r="H28" s="13" t="s">
        <v>82</v>
      </c>
      <c r="I28" s="14" t="s">
        <v>19</v>
      </c>
    </row>
    <row r="29" spans="1:9" ht="28">
      <c r="A29" s="18" t="s">
        <v>83</v>
      </c>
      <c r="B29" s="13" t="s">
        <v>19</v>
      </c>
      <c r="C29" s="13" t="s">
        <v>74</v>
      </c>
      <c r="D29" s="13" t="s">
        <v>84</v>
      </c>
      <c r="E29" s="13" t="s">
        <v>5</v>
      </c>
      <c r="F29" s="13" t="s">
        <v>50</v>
      </c>
      <c r="G29" s="13" t="s">
        <v>51</v>
      </c>
      <c r="H29" s="13" t="s">
        <v>85</v>
      </c>
      <c r="I29" s="14" t="s">
        <v>19</v>
      </c>
    </row>
    <row r="30" spans="1:9" ht="42">
      <c r="A30" s="18" t="s">
        <v>86</v>
      </c>
      <c r="B30" s="13" t="s">
        <v>19</v>
      </c>
      <c r="C30" s="13" t="s">
        <v>74</v>
      </c>
      <c r="D30" s="13" t="s">
        <v>87</v>
      </c>
      <c r="E30" s="13" t="s">
        <v>7</v>
      </c>
      <c r="F30" s="13" t="s">
        <v>61</v>
      </c>
      <c r="G30" s="13" t="s">
        <v>62</v>
      </c>
      <c r="H30" s="13" t="s">
        <v>88</v>
      </c>
      <c r="I30" s="14" t="s">
        <v>19</v>
      </c>
    </row>
    <row r="31" spans="1:9" ht="28">
      <c r="A31" s="18" t="s">
        <v>89</v>
      </c>
      <c r="B31" s="13" t="s">
        <v>19</v>
      </c>
      <c r="C31" s="13" t="s">
        <v>74</v>
      </c>
      <c r="D31" s="13" t="s">
        <v>90</v>
      </c>
      <c r="E31" s="13" t="s">
        <v>5</v>
      </c>
      <c r="F31" s="13" t="s">
        <v>50</v>
      </c>
      <c r="G31" s="13" t="s">
        <v>51</v>
      </c>
      <c r="H31" s="13" t="s">
        <v>91</v>
      </c>
      <c r="I31" s="14" t="s">
        <v>19</v>
      </c>
    </row>
    <row r="32" spans="1:9" ht="28">
      <c r="A32" s="18" t="s">
        <v>92</v>
      </c>
      <c r="B32" s="13" t="s">
        <v>19</v>
      </c>
      <c r="C32" s="13" t="s">
        <v>74</v>
      </c>
      <c r="D32" s="13" t="s">
        <v>93</v>
      </c>
      <c r="E32" s="13" t="s">
        <v>7</v>
      </c>
      <c r="F32" s="13" t="s">
        <v>61</v>
      </c>
      <c r="G32" s="13" t="s">
        <v>62</v>
      </c>
      <c r="H32" s="13" t="s">
        <v>94</v>
      </c>
      <c r="I32" s="14" t="s">
        <v>19</v>
      </c>
    </row>
    <row r="33" spans="1:9" ht="42">
      <c r="A33" s="18" t="s">
        <v>95</v>
      </c>
      <c r="B33" s="13" t="s">
        <v>19</v>
      </c>
      <c r="C33" s="13" t="s">
        <v>74</v>
      </c>
      <c r="D33" s="13" t="s">
        <v>96</v>
      </c>
      <c r="E33" s="13" t="s">
        <v>6</v>
      </c>
      <c r="F33" s="13" t="s">
        <v>97</v>
      </c>
      <c r="G33" s="13" t="s">
        <v>98</v>
      </c>
      <c r="H33" s="13" t="s">
        <v>99</v>
      </c>
      <c r="I33" s="14" t="s">
        <v>19</v>
      </c>
    </row>
    <row r="34" spans="1:9" ht="28">
      <c r="A34" s="18" t="s">
        <v>100</v>
      </c>
      <c r="B34" s="13" t="s">
        <v>19</v>
      </c>
      <c r="C34" s="13" t="s">
        <v>74</v>
      </c>
      <c r="D34" s="13" t="s">
        <v>101</v>
      </c>
      <c r="E34" s="13" t="s">
        <v>5</v>
      </c>
      <c r="F34" s="13" t="s">
        <v>102</v>
      </c>
      <c r="G34" s="13" t="s">
        <v>103</v>
      </c>
      <c r="H34" s="13" t="s">
        <v>104</v>
      </c>
      <c r="I34" s="14" t="s">
        <v>19</v>
      </c>
    </row>
    <row r="35" spans="1:9" ht="42">
      <c r="A35" s="18" t="s">
        <v>105</v>
      </c>
      <c r="B35" s="13" t="s">
        <v>19</v>
      </c>
      <c r="C35" s="13" t="s">
        <v>74</v>
      </c>
      <c r="D35" s="13" t="s">
        <v>106</v>
      </c>
      <c r="E35" s="13" t="s">
        <v>6</v>
      </c>
      <c r="F35" s="13" t="s">
        <v>97</v>
      </c>
      <c r="G35" s="13" t="s">
        <v>98</v>
      </c>
      <c r="H35" s="13" t="s">
        <v>107</v>
      </c>
      <c r="I35" s="14" t="s">
        <v>19</v>
      </c>
    </row>
    <row r="36" spans="1:9" ht="28">
      <c r="A36" s="18" t="s">
        <v>108</v>
      </c>
      <c r="B36" s="13" t="s">
        <v>19</v>
      </c>
      <c r="C36" s="13" t="s">
        <v>109</v>
      </c>
      <c r="D36" s="13" t="s">
        <v>110</v>
      </c>
      <c r="E36" s="13" t="s">
        <v>7</v>
      </c>
      <c r="F36" s="13" t="s">
        <v>61</v>
      </c>
      <c r="G36" s="13" t="s">
        <v>62</v>
      </c>
      <c r="H36" s="13" t="s">
        <v>111</v>
      </c>
      <c r="I36" s="14" t="s">
        <v>19</v>
      </c>
    </row>
    <row r="37" spans="1:9" ht="42">
      <c r="A37" s="18" t="s">
        <v>112</v>
      </c>
      <c r="B37" s="13" t="s">
        <v>19</v>
      </c>
      <c r="C37" s="13" t="s">
        <v>109</v>
      </c>
      <c r="D37" s="13" t="s">
        <v>113</v>
      </c>
      <c r="E37" s="13" t="s">
        <v>6</v>
      </c>
      <c r="F37" s="13" t="s">
        <v>97</v>
      </c>
      <c r="G37" s="13" t="s">
        <v>98</v>
      </c>
      <c r="H37" s="13" t="s">
        <v>114</v>
      </c>
      <c r="I37" s="14" t="s">
        <v>19</v>
      </c>
    </row>
    <row r="38" spans="1:9" ht="42">
      <c r="A38" s="18" t="s">
        <v>115</v>
      </c>
      <c r="B38" s="13" t="s">
        <v>19</v>
      </c>
      <c r="C38" s="13" t="s">
        <v>109</v>
      </c>
      <c r="D38" s="13" t="s">
        <v>116</v>
      </c>
      <c r="E38" s="13" t="s">
        <v>5</v>
      </c>
      <c r="F38" s="13" t="s">
        <v>102</v>
      </c>
      <c r="G38" s="13" t="s">
        <v>103</v>
      </c>
      <c r="H38" s="13" t="s">
        <v>117</v>
      </c>
      <c r="I38" s="14" t="s">
        <v>19</v>
      </c>
    </row>
    <row r="39" spans="1:9" ht="28">
      <c r="A39" s="18" t="s">
        <v>118</v>
      </c>
      <c r="B39" s="13" t="s">
        <v>19</v>
      </c>
      <c r="C39" s="13" t="s">
        <v>109</v>
      </c>
      <c r="D39" s="13" t="s">
        <v>119</v>
      </c>
      <c r="E39" s="13" t="s">
        <v>7</v>
      </c>
      <c r="F39" s="13" t="s">
        <v>61</v>
      </c>
      <c r="G39" s="13" t="s">
        <v>62</v>
      </c>
      <c r="H39" s="13" t="s">
        <v>120</v>
      </c>
      <c r="I39" s="14" t="s">
        <v>19</v>
      </c>
    </row>
    <row r="40" spans="1:9" ht="28">
      <c r="A40" s="18" t="s">
        <v>121</v>
      </c>
      <c r="B40" s="13" t="s">
        <v>19</v>
      </c>
      <c r="C40" s="13" t="s">
        <v>109</v>
      </c>
      <c r="D40" s="13" t="s">
        <v>122</v>
      </c>
      <c r="E40" s="13" t="s">
        <v>7</v>
      </c>
      <c r="F40" s="13" t="s">
        <v>61</v>
      </c>
      <c r="G40" s="13" t="s">
        <v>62</v>
      </c>
      <c r="H40" s="13" t="s">
        <v>123</v>
      </c>
      <c r="I40" s="14" t="s">
        <v>19</v>
      </c>
    </row>
    <row r="41" spans="1:9" ht="28">
      <c r="A41" s="18" t="s">
        <v>124</v>
      </c>
      <c r="B41" s="13" t="s">
        <v>19</v>
      </c>
      <c r="C41" s="13" t="s">
        <v>109</v>
      </c>
      <c r="D41" s="13" t="s">
        <v>125</v>
      </c>
      <c r="E41" s="13" t="s">
        <v>7</v>
      </c>
      <c r="F41" s="13" t="s">
        <v>61</v>
      </c>
      <c r="G41" s="13" t="s">
        <v>62</v>
      </c>
      <c r="H41" s="13" t="s">
        <v>126</v>
      </c>
      <c r="I41" s="14" t="s">
        <v>19</v>
      </c>
    </row>
    <row r="42" spans="1:9" ht="28">
      <c r="A42" s="18" t="s">
        <v>127</v>
      </c>
      <c r="B42" s="13" t="s">
        <v>19</v>
      </c>
      <c r="C42" s="13" t="s">
        <v>109</v>
      </c>
      <c r="D42" s="13" t="s">
        <v>128</v>
      </c>
      <c r="E42" s="13" t="s">
        <v>5</v>
      </c>
      <c r="F42" s="13" t="s">
        <v>102</v>
      </c>
      <c r="G42" s="13" t="s">
        <v>103</v>
      </c>
      <c r="H42" s="13" t="s">
        <v>129</v>
      </c>
      <c r="I42" s="14" t="s">
        <v>19</v>
      </c>
    </row>
    <row r="43" spans="1:9" ht="28">
      <c r="A43" s="18" t="s">
        <v>130</v>
      </c>
      <c r="B43" s="13" t="s">
        <v>19</v>
      </c>
      <c r="C43" s="13" t="s">
        <v>109</v>
      </c>
      <c r="D43" s="13" t="s">
        <v>131</v>
      </c>
      <c r="E43" s="13" t="s">
        <v>7</v>
      </c>
      <c r="F43" s="13" t="s">
        <v>61</v>
      </c>
      <c r="G43" s="13" t="s">
        <v>62</v>
      </c>
      <c r="H43" s="13" t="s">
        <v>132</v>
      </c>
      <c r="I43" s="14" t="s">
        <v>19</v>
      </c>
    </row>
    <row r="44" spans="1:9" ht="42">
      <c r="A44" s="18" t="s">
        <v>133</v>
      </c>
      <c r="B44" s="13" t="s">
        <v>19</v>
      </c>
      <c r="C44" s="13" t="s">
        <v>109</v>
      </c>
      <c r="D44" s="13" t="s">
        <v>134</v>
      </c>
      <c r="E44" s="13" t="s">
        <v>6</v>
      </c>
      <c r="F44" s="13" t="s">
        <v>135</v>
      </c>
      <c r="G44" s="13" t="s">
        <v>136</v>
      </c>
      <c r="H44" s="13" t="s">
        <v>137</v>
      </c>
      <c r="I44" s="14" t="s">
        <v>19</v>
      </c>
    </row>
    <row r="45" spans="1:9" ht="28">
      <c r="A45" s="18" t="s">
        <v>138</v>
      </c>
      <c r="B45" s="13" t="s">
        <v>19</v>
      </c>
      <c r="C45" s="13" t="s">
        <v>109</v>
      </c>
      <c r="D45" s="13" t="s">
        <v>139</v>
      </c>
      <c r="E45" s="13" t="s">
        <v>6</v>
      </c>
      <c r="F45" s="13" t="s">
        <v>135</v>
      </c>
      <c r="G45" s="13" t="s">
        <v>136</v>
      </c>
      <c r="H45" s="13" t="s">
        <v>140</v>
      </c>
      <c r="I45" s="14" t="s">
        <v>19</v>
      </c>
    </row>
    <row r="46" spans="1:9" ht="28">
      <c r="A46" s="18" t="s">
        <v>141</v>
      </c>
      <c r="B46" s="13" t="s">
        <v>19</v>
      </c>
      <c r="C46" s="13" t="s">
        <v>109</v>
      </c>
      <c r="D46" s="13" t="s">
        <v>142</v>
      </c>
      <c r="E46" s="13" t="s">
        <v>5</v>
      </c>
      <c r="F46" s="13" t="s">
        <v>143</v>
      </c>
      <c r="G46" s="13" t="s">
        <v>144</v>
      </c>
      <c r="H46" s="13" t="s">
        <v>145</v>
      </c>
      <c r="I46" s="14" t="s">
        <v>19</v>
      </c>
    </row>
    <row r="47" spans="1:9" ht="28">
      <c r="A47" s="18" t="s">
        <v>146</v>
      </c>
      <c r="B47" s="13" t="s">
        <v>19</v>
      </c>
      <c r="C47" s="13" t="s">
        <v>109</v>
      </c>
      <c r="D47" s="13" t="s">
        <v>147</v>
      </c>
      <c r="E47" s="13" t="s">
        <v>5</v>
      </c>
      <c r="F47" s="13" t="s">
        <v>143</v>
      </c>
      <c r="G47" s="13" t="s">
        <v>144</v>
      </c>
      <c r="H47" s="13" t="s">
        <v>148</v>
      </c>
      <c r="I47" s="14" t="s">
        <v>19</v>
      </c>
    </row>
    <row r="48" spans="1:9" ht="42">
      <c r="A48" s="18" t="s">
        <v>149</v>
      </c>
      <c r="B48" s="13" t="s">
        <v>19</v>
      </c>
      <c r="C48" s="13" t="s">
        <v>109</v>
      </c>
      <c r="D48" s="13" t="s">
        <v>150</v>
      </c>
      <c r="E48" s="13" t="s">
        <v>5</v>
      </c>
      <c r="F48" s="13" t="s">
        <v>22</v>
      </c>
      <c r="G48" s="13" t="s">
        <v>23</v>
      </c>
      <c r="H48" s="13" t="s">
        <v>151</v>
      </c>
      <c r="I48" s="14" t="s">
        <v>19</v>
      </c>
    </row>
    <row r="49" spans="1:9" ht="28">
      <c r="A49" s="18" t="s">
        <v>152</v>
      </c>
      <c r="B49" s="13" t="s">
        <v>19</v>
      </c>
      <c r="C49" s="13" t="s">
        <v>109</v>
      </c>
      <c r="D49" s="13" t="s">
        <v>153</v>
      </c>
      <c r="E49" s="13" t="s">
        <v>6</v>
      </c>
      <c r="F49" s="13" t="s">
        <v>154</v>
      </c>
      <c r="G49" s="13" t="s">
        <v>155</v>
      </c>
      <c r="H49" s="13" t="s">
        <v>156</v>
      </c>
      <c r="I49" s="14" t="s">
        <v>19</v>
      </c>
    </row>
    <row r="50" spans="1:9" ht="28">
      <c r="A50" s="18" t="s">
        <v>157</v>
      </c>
      <c r="B50" s="13" t="s">
        <v>19</v>
      </c>
      <c r="C50" s="13" t="s">
        <v>109</v>
      </c>
      <c r="D50" s="13" t="s">
        <v>158</v>
      </c>
      <c r="E50" s="13" t="s">
        <v>5</v>
      </c>
      <c r="F50" s="13" t="s">
        <v>143</v>
      </c>
      <c r="G50" s="13" t="s">
        <v>144</v>
      </c>
      <c r="H50" s="13" t="s">
        <v>159</v>
      </c>
      <c r="I50" s="14" t="s">
        <v>19</v>
      </c>
    </row>
    <row r="51" spans="1:9" ht="28">
      <c r="A51" s="18" t="s">
        <v>160</v>
      </c>
      <c r="B51" s="13" t="s">
        <v>19</v>
      </c>
      <c r="C51" s="13" t="s">
        <v>109</v>
      </c>
      <c r="D51" s="13" t="s">
        <v>161</v>
      </c>
      <c r="E51" s="13" t="s">
        <v>7</v>
      </c>
      <c r="F51" s="13" t="s">
        <v>61</v>
      </c>
      <c r="G51" s="13" t="s">
        <v>62</v>
      </c>
      <c r="H51" s="13" t="s">
        <v>162</v>
      </c>
      <c r="I51" s="14" t="s">
        <v>19</v>
      </c>
    </row>
    <row r="52" spans="1:9" ht="28">
      <c r="A52" s="18" t="s">
        <v>163</v>
      </c>
      <c r="B52" s="13" t="s">
        <v>19</v>
      </c>
      <c r="C52" s="13" t="s">
        <v>109</v>
      </c>
      <c r="D52" s="13" t="s">
        <v>164</v>
      </c>
      <c r="E52" s="13" t="s">
        <v>5</v>
      </c>
      <c r="F52" s="13" t="s">
        <v>143</v>
      </c>
      <c r="G52" s="13" t="s">
        <v>144</v>
      </c>
      <c r="H52" s="13" t="s">
        <v>165</v>
      </c>
      <c r="I52" s="14" t="s">
        <v>19</v>
      </c>
    </row>
    <row r="53" spans="1:9" ht="28">
      <c r="A53" s="18" t="s">
        <v>166</v>
      </c>
      <c r="B53" s="13" t="s">
        <v>19</v>
      </c>
      <c r="C53" s="13" t="s">
        <v>109</v>
      </c>
      <c r="D53" s="13" t="s">
        <v>167</v>
      </c>
      <c r="E53" s="13" t="s">
        <v>7</v>
      </c>
      <c r="F53" s="13" t="s">
        <v>61</v>
      </c>
      <c r="G53" s="13" t="s">
        <v>62</v>
      </c>
      <c r="H53" s="13" t="s">
        <v>168</v>
      </c>
      <c r="I53" s="14" t="s">
        <v>19</v>
      </c>
    </row>
    <row r="54" spans="1:9" ht="28">
      <c r="A54" s="18" t="s">
        <v>169</v>
      </c>
      <c r="B54" s="13" t="s">
        <v>19</v>
      </c>
      <c r="C54" s="13" t="s">
        <v>109</v>
      </c>
      <c r="D54" s="13" t="s">
        <v>170</v>
      </c>
      <c r="E54" s="13" t="s">
        <v>7</v>
      </c>
      <c r="F54" s="13" t="s">
        <v>61</v>
      </c>
      <c r="G54" s="13" t="s">
        <v>62</v>
      </c>
      <c r="H54" s="13" t="s">
        <v>171</v>
      </c>
      <c r="I54" s="14" t="s">
        <v>19</v>
      </c>
    </row>
    <row r="55" spans="1:9" ht="28">
      <c r="A55" s="18" t="s">
        <v>172</v>
      </c>
      <c r="B55" s="13" t="s">
        <v>19</v>
      </c>
      <c r="C55" s="13" t="s">
        <v>109</v>
      </c>
      <c r="D55" s="13" t="s">
        <v>173</v>
      </c>
      <c r="E55" s="13" t="s">
        <v>6</v>
      </c>
      <c r="F55" s="13" t="s">
        <v>37</v>
      </c>
      <c r="G55" s="13" t="s">
        <v>38</v>
      </c>
      <c r="H55" s="13" t="s">
        <v>174</v>
      </c>
      <c r="I55" s="14" t="s">
        <v>19</v>
      </c>
    </row>
    <row r="56" spans="1:9" ht="28">
      <c r="A56" s="18" t="s">
        <v>175</v>
      </c>
      <c r="B56" s="13" t="s">
        <v>19</v>
      </c>
      <c r="C56" s="13" t="s">
        <v>109</v>
      </c>
      <c r="D56" s="13" t="s">
        <v>176</v>
      </c>
      <c r="E56" s="13" t="s">
        <v>6</v>
      </c>
      <c r="F56" s="13" t="s">
        <v>37</v>
      </c>
      <c r="G56" s="13" t="s">
        <v>38</v>
      </c>
      <c r="H56" s="13" t="s">
        <v>177</v>
      </c>
      <c r="I56" s="14" t="s">
        <v>19</v>
      </c>
    </row>
    <row r="57" spans="1:9" ht="28">
      <c r="A57" s="18" t="s">
        <v>178</v>
      </c>
      <c r="B57" s="13" t="s">
        <v>19</v>
      </c>
      <c r="C57" s="13" t="s">
        <v>109</v>
      </c>
      <c r="D57" s="13" t="s">
        <v>179</v>
      </c>
      <c r="E57" s="13" t="s">
        <v>5</v>
      </c>
      <c r="F57" s="13" t="s">
        <v>50</v>
      </c>
      <c r="G57" s="13" t="s">
        <v>51</v>
      </c>
      <c r="H57" s="13" t="s">
        <v>180</v>
      </c>
      <c r="I57" s="14" t="s">
        <v>19</v>
      </c>
    </row>
    <row r="58" spans="1:9" ht="28">
      <c r="A58" s="18" t="s">
        <v>181</v>
      </c>
      <c r="B58" s="13" t="s">
        <v>19</v>
      </c>
      <c r="C58" s="13" t="s">
        <v>109</v>
      </c>
      <c r="D58" s="13" t="s">
        <v>182</v>
      </c>
      <c r="E58" s="13" t="s">
        <v>5</v>
      </c>
      <c r="F58" s="13" t="s">
        <v>50</v>
      </c>
      <c r="G58" s="13" t="s">
        <v>51</v>
      </c>
      <c r="H58" s="13" t="s">
        <v>183</v>
      </c>
      <c r="I58" s="14" t="s">
        <v>19</v>
      </c>
    </row>
    <row r="59" spans="1:9" ht="42">
      <c r="A59" s="18" t="s">
        <v>184</v>
      </c>
      <c r="B59" s="13" t="s">
        <v>19</v>
      </c>
      <c r="C59" s="13" t="s">
        <v>185</v>
      </c>
      <c r="D59" s="13" t="s">
        <v>186</v>
      </c>
      <c r="E59" s="13" t="s">
        <v>5</v>
      </c>
      <c r="F59" s="13" t="s">
        <v>22</v>
      </c>
      <c r="G59" s="13" t="s">
        <v>23</v>
      </c>
      <c r="H59" s="13" t="s">
        <v>187</v>
      </c>
      <c r="I59" s="14" t="s">
        <v>19</v>
      </c>
    </row>
    <row r="60" spans="1:9" ht="42">
      <c r="A60" s="18" t="s">
        <v>188</v>
      </c>
      <c r="B60" s="13" t="s">
        <v>19</v>
      </c>
      <c r="C60" s="13" t="s">
        <v>185</v>
      </c>
      <c r="D60" s="13" t="s">
        <v>189</v>
      </c>
      <c r="E60" s="13" t="s">
        <v>5</v>
      </c>
      <c r="F60" s="13" t="s">
        <v>22</v>
      </c>
      <c r="G60" s="13" t="s">
        <v>23</v>
      </c>
      <c r="H60" s="13" t="s">
        <v>190</v>
      </c>
      <c r="I60" s="14" t="s">
        <v>19</v>
      </c>
    </row>
    <row r="61" spans="1:9" ht="42">
      <c r="A61" s="18" t="s">
        <v>191</v>
      </c>
      <c r="B61" s="13" t="s">
        <v>19</v>
      </c>
      <c r="C61" s="13" t="s">
        <v>185</v>
      </c>
      <c r="D61" s="13" t="s">
        <v>192</v>
      </c>
      <c r="E61" s="13" t="s">
        <v>5</v>
      </c>
      <c r="F61" s="13" t="s">
        <v>22</v>
      </c>
      <c r="G61" s="13" t="s">
        <v>23</v>
      </c>
      <c r="H61" s="13" t="s">
        <v>193</v>
      </c>
      <c r="I61" s="14" t="s">
        <v>19</v>
      </c>
    </row>
    <row r="62" spans="1:9" ht="42">
      <c r="A62" s="18" t="s">
        <v>194</v>
      </c>
      <c r="B62" s="13" t="s">
        <v>19</v>
      </c>
      <c r="C62" s="13" t="s">
        <v>185</v>
      </c>
      <c r="D62" s="13" t="s">
        <v>195</v>
      </c>
      <c r="E62" s="13" t="s">
        <v>5</v>
      </c>
      <c r="F62" s="13" t="s">
        <v>22</v>
      </c>
      <c r="G62" s="13" t="s">
        <v>23</v>
      </c>
      <c r="H62" s="13" t="s">
        <v>196</v>
      </c>
      <c r="I62" s="14" t="s">
        <v>19</v>
      </c>
    </row>
    <row r="63" spans="1:9" ht="42">
      <c r="A63" s="18" t="s">
        <v>197</v>
      </c>
      <c r="B63" s="13" t="s">
        <v>19</v>
      </c>
      <c r="C63" s="13" t="s">
        <v>185</v>
      </c>
      <c r="D63" s="13" t="s">
        <v>198</v>
      </c>
      <c r="E63" s="13" t="s">
        <v>5</v>
      </c>
      <c r="F63" s="13" t="s">
        <v>22</v>
      </c>
      <c r="G63" s="13" t="s">
        <v>23</v>
      </c>
      <c r="H63" s="13" t="s">
        <v>199</v>
      </c>
      <c r="I63" s="14" t="s">
        <v>19</v>
      </c>
    </row>
    <row r="64" spans="1:9" ht="42">
      <c r="A64" s="18" t="s">
        <v>200</v>
      </c>
      <c r="B64" s="13" t="s">
        <v>19</v>
      </c>
      <c r="C64" s="13" t="s">
        <v>185</v>
      </c>
      <c r="D64" s="13" t="s">
        <v>201</v>
      </c>
      <c r="E64" s="13" t="s">
        <v>5</v>
      </c>
      <c r="F64" s="13" t="s">
        <v>22</v>
      </c>
      <c r="G64" s="13" t="s">
        <v>23</v>
      </c>
      <c r="H64" s="13" t="s">
        <v>202</v>
      </c>
      <c r="I64" s="14" t="s">
        <v>19</v>
      </c>
    </row>
    <row r="65" spans="1:9" ht="42">
      <c r="A65" s="18" t="s">
        <v>203</v>
      </c>
      <c r="B65" s="13" t="s">
        <v>19</v>
      </c>
      <c r="C65" s="13" t="s">
        <v>185</v>
      </c>
      <c r="D65" s="13" t="s">
        <v>204</v>
      </c>
      <c r="E65" s="13" t="s">
        <v>6</v>
      </c>
      <c r="F65" s="13" t="s">
        <v>205</v>
      </c>
      <c r="G65" s="13" t="s">
        <v>206</v>
      </c>
      <c r="H65" s="13" t="s">
        <v>207</v>
      </c>
      <c r="I65" s="14" t="s">
        <v>19</v>
      </c>
    </row>
    <row r="66" spans="1:9" ht="42">
      <c r="A66" s="18" t="s">
        <v>208</v>
      </c>
      <c r="B66" s="13" t="s">
        <v>19</v>
      </c>
      <c r="C66" s="13" t="s">
        <v>185</v>
      </c>
      <c r="D66" s="13" t="s">
        <v>209</v>
      </c>
      <c r="E66" s="13" t="s">
        <v>5</v>
      </c>
      <c r="F66" s="13" t="s">
        <v>143</v>
      </c>
      <c r="G66" s="13" t="s">
        <v>144</v>
      </c>
      <c r="H66" s="13" t="s">
        <v>210</v>
      </c>
      <c r="I66" s="14" t="s">
        <v>19</v>
      </c>
    </row>
    <row r="67" spans="1:9" ht="42">
      <c r="A67" s="18" t="s">
        <v>211</v>
      </c>
      <c r="B67" s="13" t="s">
        <v>19</v>
      </c>
      <c r="C67" s="13" t="s">
        <v>185</v>
      </c>
      <c r="D67" s="13" t="s">
        <v>212</v>
      </c>
      <c r="E67" s="13" t="s">
        <v>5</v>
      </c>
      <c r="F67" s="13" t="s">
        <v>22</v>
      </c>
      <c r="G67" s="13" t="s">
        <v>23</v>
      </c>
      <c r="H67" s="13" t="s">
        <v>213</v>
      </c>
      <c r="I67" s="14" t="s">
        <v>19</v>
      </c>
    </row>
    <row r="68" spans="1:9" ht="42">
      <c r="A68" s="18" t="s">
        <v>214</v>
      </c>
      <c r="B68" s="13" t="s">
        <v>19</v>
      </c>
      <c r="C68" s="13" t="s">
        <v>185</v>
      </c>
      <c r="D68" s="13" t="s">
        <v>215</v>
      </c>
      <c r="E68" s="13" t="s">
        <v>6</v>
      </c>
      <c r="F68" s="13" t="s">
        <v>97</v>
      </c>
      <c r="G68" s="13" t="s">
        <v>98</v>
      </c>
      <c r="H68" s="13" t="s">
        <v>216</v>
      </c>
      <c r="I68" s="14" t="s">
        <v>19</v>
      </c>
    </row>
    <row r="69" spans="1:9" ht="42">
      <c r="A69" s="18" t="s">
        <v>217</v>
      </c>
      <c r="B69" s="13" t="s">
        <v>19</v>
      </c>
      <c r="C69" s="13" t="s">
        <v>185</v>
      </c>
      <c r="D69" s="13" t="s">
        <v>218</v>
      </c>
      <c r="E69" s="13" t="s">
        <v>5</v>
      </c>
      <c r="F69" s="13" t="s">
        <v>22</v>
      </c>
      <c r="G69" s="13" t="s">
        <v>23</v>
      </c>
      <c r="H69" s="13" t="s">
        <v>219</v>
      </c>
      <c r="I69" s="14" t="s">
        <v>19</v>
      </c>
    </row>
    <row r="70" spans="1:9" ht="42">
      <c r="A70" s="18" t="s">
        <v>220</v>
      </c>
      <c r="B70" s="13" t="s">
        <v>19</v>
      </c>
      <c r="C70" s="13" t="s">
        <v>185</v>
      </c>
      <c r="D70" s="13" t="s">
        <v>221</v>
      </c>
      <c r="E70" s="13" t="s">
        <v>6</v>
      </c>
      <c r="F70" s="13" t="s">
        <v>205</v>
      </c>
      <c r="G70" s="13" t="s">
        <v>206</v>
      </c>
      <c r="H70" s="13" t="s">
        <v>222</v>
      </c>
      <c r="I70" s="14" t="s">
        <v>19</v>
      </c>
    </row>
    <row r="71" spans="1:9" ht="28">
      <c r="A71" s="18" t="s">
        <v>223</v>
      </c>
      <c r="B71" s="13" t="s">
        <v>19</v>
      </c>
      <c r="C71" s="13" t="s">
        <v>185</v>
      </c>
      <c r="D71" s="13" t="s">
        <v>224</v>
      </c>
      <c r="E71" s="13" t="s">
        <v>6</v>
      </c>
      <c r="F71" s="13" t="s">
        <v>154</v>
      </c>
      <c r="G71" s="13" t="s">
        <v>155</v>
      </c>
      <c r="H71" s="13" t="s">
        <v>225</v>
      </c>
      <c r="I71" s="14" t="s">
        <v>19</v>
      </c>
    </row>
    <row r="72" spans="1:9" ht="42">
      <c r="A72" s="18" t="s">
        <v>226</v>
      </c>
      <c r="B72" s="13" t="s">
        <v>19</v>
      </c>
      <c r="C72" s="13" t="s">
        <v>185</v>
      </c>
      <c r="D72" s="13" t="s">
        <v>227</v>
      </c>
      <c r="E72" s="13" t="s">
        <v>5</v>
      </c>
      <c r="F72" s="13" t="s">
        <v>22</v>
      </c>
      <c r="G72" s="13" t="s">
        <v>23</v>
      </c>
      <c r="H72" s="13" t="s">
        <v>228</v>
      </c>
      <c r="I72" s="14" t="s">
        <v>19</v>
      </c>
    </row>
    <row r="73" spans="1:9" ht="42">
      <c r="A73" s="18" t="s">
        <v>229</v>
      </c>
      <c r="B73" s="13" t="s">
        <v>19</v>
      </c>
      <c r="C73" s="13" t="s">
        <v>230</v>
      </c>
      <c r="D73" s="13" t="s">
        <v>231</v>
      </c>
      <c r="E73" s="13" t="s">
        <v>5</v>
      </c>
      <c r="F73" s="13" t="s">
        <v>22</v>
      </c>
      <c r="G73" s="13" t="s">
        <v>23</v>
      </c>
      <c r="H73" s="13" t="s">
        <v>232</v>
      </c>
      <c r="I73" s="14" t="s">
        <v>19</v>
      </c>
    </row>
    <row r="74" spans="1:9" ht="42">
      <c r="A74" s="18" t="s">
        <v>233</v>
      </c>
      <c r="B74" s="13" t="s">
        <v>19</v>
      </c>
      <c r="C74" s="13" t="s">
        <v>230</v>
      </c>
      <c r="D74" s="13" t="s">
        <v>234</v>
      </c>
      <c r="E74" s="13" t="s">
        <v>5</v>
      </c>
      <c r="F74" s="13" t="s">
        <v>22</v>
      </c>
      <c r="G74" s="13" t="s">
        <v>23</v>
      </c>
      <c r="H74" s="13" t="s">
        <v>235</v>
      </c>
      <c r="I74" s="14" t="s">
        <v>19</v>
      </c>
    </row>
    <row r="75" spans="1:9" ht="42">
      <c r="A75" s="18" t="s">
        <v>236</v>
      </c>
      <c r="B75" s="13" t="s">
        <v>19</v>
      </c>
      <c r="C75" s="13" t="s">
        <v>230</v>
      </c>
      <c r="D75" s="13" t="s">
        <v>237</v>
      </c>
      <c r="E75" s="13" t="s">
        <v>5</v>
      </c>
      <c r="F75" s="13" t="s">
        <v>22</v>
      </c>
      <c r="G75" s="13" t="s">
        <v>23</v>
      </c>
      <c r="H75" s="13" t="s">
        <v>238</v>
      </c>
      <c r="I75" s="14" t="s">
        <v>19</v>
      </c>
    </row>
    <row r="76" spans="1:9" ht="42">
      <c r="A76" s="18" t="s">
        <v>239</v>
      </c>
      <c r="B76" s="13" t="s">
        <v>19</v>
      </c>
      <c r="C76" s="13" t="s">
        <v>230</v>
      </c>
      <c r="D76" s="13" t="s">
        <v>240</v>
      </c>
      <c r="E76" s="13" t="s">
        <v>5</v>
      </c>
      <c r="F76" s="13" t="s">
        <v>22</v>
      </c>
      <c r="G76" s="13" t="s">
        <v>23</v>
      </c>
      <c r="H76" s="13" t="s">
        <v>241</v>
      </c>
      <c r="I76" s="14" t="s">
        <v>19</v>
      </c>
    </row>
    <row r="77" spans="1:9" ht="42">
      <c r="A77" s="18" t="s">
        <v>242</v>
      </c>
      <c r="B77" s="13" t="s">
        <v>19</v>
      </c>
      <c r="C77" s="13" t="s">
        <v>230</v>
      </c>
      <c r="D77" s="13" t="s">
        <v>243</v>
      </c>
      <c r="E77" s="13" t="s">
        <v>5</v>
      </c>
      <c r="F77" s="13" t="s">
        <v>22</v>
      </c>
      <c r="G77" s="13" t="s">
        <v>23</v>
      </c>
      <c r="H77" s="13" t="s">
        <v>244</v>
      </c>
      <c r="I77" s="14" t="s">
        <v>19</v>
      </c>
    </row>
    <row r="78" spans="1:9" ht="28">
      <c r="A78" s="18" t="s">
        <v>245</v>
      </c>
      <c r="B78" s="13" t="s">
        <v>19</v>
      </c>
      <c r="C78" s="13" t="s">
        <v>246</v>
      </c>
      <c r="D78" s="13" t="s">
        <v>247</v>
      </c>
      <c r="E78" s="13" t="s">
        <v>7</v>
      </c>
      <c r="F78" s="13" t="s">
        <v>61</v>
      </c>
      <c r="G78" s="13" t="s">
        <v>62</v>
      </c>
      <c r="H78" s="13" t="s">
        <v>248</v>
      </c>
      <c r="I78" s="14" t="s">
        <v>19</v>
      </c>
    </row>
    <row r="79" spans="1:9" ht="42">
      <c r="A79" s="18" t="s">
        <v>249</v>
      </c>
      <c r="B79" s="13" t="s">
        <v>19</v>
      </c>
      <c r="C79" s="13" t="s">
        <v>246</v>
      </c>
      <c r="D79" s="13" t="s">
        <v>250</v>
      </c>
      <c r="E79" s="13" t="s">
        <v>5</v>
      </c>
      <c r="F79" s="13" t="s">
        <v>50</v>
      </c>
      <c r="G79" s="13" t="s">
        <v>51</v>
      </c>
      <c r="H79" s="13" t="s">
        <v>251</v>
      </c>
      <c r="I79" s="14" t="s">
        <v>19</v>
      </c>
    </row>
    <row r="80" spans="1:9" ht="42">
      <c r="A80" s="18" t="s">
        <v>252</v>
      </c>
      <c r="B80" s="13" t="s">
        <v>19</v>
      </c>
      <c r="C80" s="13" t="s">
        <v>246</v>
      </c>
      <c r="D80" s="13" t="s">
        <v>253</v>
      </c>
      <c r="E80" s="13" t="s">
        <v>5</v>
      </c>
      <c r="F80" s="13" t="s">
        <v>22</v>
      </c>
      <c r="G80" s="13" t="s">
        <v>23</v>
      </c>
      <c r="H80" s="13" t="s">
        <v>254</v>
      </c>
      <c r="I80" s="14" t="s">
        <v>19</v>
      </c>
    </row>
    <row r="81" spans="1:9" ht="42">
      <c r="A81" s="18" t="s">
        <v>255</v>
      </c>
      <c r="B81" s="13" t="s">
        <v>19</v>
      </c>
      <c r="C81" s="13" t="s">
        <v>246</v>
      </c>
      <c r="D81" s="13" t="s">
        <v>256</v>
      </c>
      <c r="E81" s="13" t="s">
        <v>6</v>
      </c>
      <c r="F81" s="13" t="s">
        <v>37</v>
      </c>
      <c r="G81" s="13" t="s">
        <v>38</v>
      </c>
      <c r="H81" s="13" t="s">
        <v>257</v>
      </c>
      <c r="I81" s="14" t="s">
        <v>19</v>
      </c>
    </row>
    <row r="82" spans="1:9" ht="28">
      <c r="A82" s="18" t="s">
        <v>258</v>
      </c>
      <c r="B82" s="13" t="s">
        <v>19</v>
      </c>
      <c r="C82" s="13" t="s">
        <v>246</v>
      </c>
      <c r="D82" s="13" t="s">
        <v>259</v>
      </c>
      <c r="E82" s="13" t="s">
        <v>7</v>
      </c>
      <c r="F82" s="13" t="s">
        <v>61</v>
      </c>
      <c r="G82" s="13" t="s">
        <v>62</v>
      </c>
      <c r="H82" s="13" t="s">
        <v>260</v>
      </c>
      <c r="I82" s="14" t="s">
        <v>19</v>
      </c>
    </row>
    <row r="83" spans="1:9" ht="42">
      <c r="A83" s="18" t="s">
        <v>261</v>
      </c>
      <c r="B83" s="13" t="s">
        <v>19</v>
      </c>
      <c r="C83" s="13" t="s">
        <v>246</v>
      </c>
      <c r="D83" s="13" t="s">
        <v>262</v>
      </c>
      <c r="E83" s="13" t="s">
        <v>5</v>
      </c>
      <c r="F83" s="13" t="s">
        <v>22</v>
      </c>
      <c r="G83" s="13" t="s">
        <v>23</v>
      </c>
      <c r="H83" s="13" t="s">
        <v>263</v>
      </c>
      <c r="I83" s="14" t="s">
        <v>19</v>
      </c>
    </row>
    <row r="84" spans="1:9" ht="42">
      <c r="A84" s="18" t="s">
        <v>264</v>
      </c>
      <c r="B84" s="13" t="s">
        <v>19</v>
      </c>
      <c r="C84" s="13" t="s">
        <v>246</v>
      </c>
      <c r="D84" s="13" t="s">
        <v>265</v>
      </c>
      <c r="E84" s="13" t="s">
        <v>5</v>
      </c>
      <c r="F84" s="13" t="s">
        <v>22</v>
      </c>
      <c r="G84" s="13" t="s">
        <v>23</v>
      </c>
      <c r="H84" s="13" t="s">
        <v>266</v>
      </c>
      <c r="I84" s="14" t="s">
        <v>19</v>
      </c>
    </row>
    <row r="85" spans="1:9" ht="42">
      <c r="A85" s="18" t="s">
        <v>267</v>
      </c>
      <c r="B85" s="13" t="s">
        <v>19</v>
      </c>
      <c r="C85" s="13" t="s">
        <v>246</v>
      </c>
      <c r="D85" s="13" t="s">
        <v>268</v>
      </c>
      <c r="E85" s="13" t="s">
        <v>5</v>
      </c>
      <c r="F85" s="13" t="s">
        <v>22</v>
      </c>
      <c r="G85" s="13" t="s">
        <v>23</v>
      </c>
      <c r="H85" s="13" t="s">
        <v>269</v>
      </c>
      <c r="I85" s="14" t="s">
        <v>19</v>
      </c>
    </row>
    <row r="86" spans="1:9" ht="42">
      <c r="A86" s="18" t="s">
        <v>270</v>
      </c>
      <c r="B86" s="13" t="s">
        <v>19</v>
      </c>
      <c r="C86" s="13" t="s">
        <v>246</v>
      </c>
      <c r="D86" s="13" t="s">
        <v>271</v>
      </c>
      <c r="E86" s="13" t="s">
        <v>6</v>
      </c>
      <c r="F86" s="13" t="s">
        <v>154</v>
      </c>
      <c r="G86" s="13" t="s">
        <v>155</v>
      </c>
      <c r="H86" s="13" t="s">
        <v>272</v>
      </c>
      <c r="I86" s="14" t="s">
        <v>19</v>
      </c>
    </row>
    <row r="87" spans="1:9" ht="42">
      <c r="A87" s="18" t="s">
        <v>273</v>
      </c>
      <c r="B87" s="13" t="s">
        <v>19</v>
      </c>
      <c r="C87" s="13" t="s">
        <v>246</v>
      </c>
      <c r="D87" s="13" t="s">
        <v>274</v>
      </c>
      <c r="E87" s="13" t="s">
        <v>5</v>
      </c>
      <c r="F87" s="13" t="s">
        <v>275</v>
      </c>
      <c r="G87" s="13" t="s">
        <v>276</v>
      </c>
      <c r="H87" s="13" t="s">
        <v>277</v>
      </c>
      <c r="I87" s="14" t="s">
        <v>19</v>
      </c>
    </row>
    <row r="88" spans="1:9" ht="28">
      <c r="A88" s="18" t="s">
        <v>278</v>
      </c>
      <c r="B88" s="13" t="s">
        <v>19</v>
      </c>
      <c r="C88" s="13" t="s">
        <v>279</v>
      </c>
      <c r="D88" s="13" t="s">
        <v>280</v>
      </c>
      <c r="E88" s="13" t="s">
        <v>6</v>
      </c>
      <c r="F88" s="13" t="s">
        <v>37</v>
      </c>
      <c r="G88" s="13" t="s">
        <v>38</v>
      </c>
      <c r="H88" s="13" t="s">
        <v>281</v>
      </c>
      <c r="I88" s="14" t="s">
        <v>19</v>
      </c>
    </row>
    <row r="89" spans="1:9" ht="28">
      <c r="A89" s="18" t="s">
        <v>282</v>
      </c>
      <c r="B89" s="13" t="s">
        <v>19</v>
      </c>
      <c r="C89" s="13" t="s">
        <v>279</v>
      </c>
      <c r="D89" s="13" t="s">
        <v>283</v>
      </c>
      <c r="E89" s="13" t="s">
        <v>7</v>
      </c>
      <c r="F89" s="13" t="s">
        <v>61</v>
      </c>
      <c r="G89" s="13" t="s">
        <v>62</v>
      </c>
      <c r="H89" s="13" t="s">
        <v>284</v>
      </c>
      <c r="I89" s="14" t="s">
        <v>19</v>
      </c>
    </row>
    <row r="90" spans="1:9" ht="42">
      <c r="A90" s="18" t="s">
        <v>285</v>
      </c>
      <c r="B90" s="13" t="s">
        <v>286</v>
      </c>
      <c r="C90" s="13" t="s">
        <v>287</v>
      </c>
      <c r="D90" s="13" t="s">
        <v>288</v>
      </c>
      <c r="E90" s="13" t="s">
        <v>6</v>
      </c>
      <c r="F90" s="13" t="s">
        <v>97</v>
      </c>
      <c r="G90" s="13" t="s">
        <v>98</v>
      </c>
      <c r="H90" s="13" t="s">
        <v>289</v>
      </c>
      <c r="I90" s="14" t="s">
        <v>286</v>
      </c>
    </row>
    <row r="91" spans="1:9" ht="28">
      <c r="A91" s="18" t="s">
        <v>290</v>
      </c>
      <c r="B91" s="13" t="s">
        <v>286</v>
      </c>
      <c r="C91" s="13" t="s">
        <v>291</v>
      </c>
      <c r="D91" s="13" t="s">
        <v>292</v>
      </c>
      <c r="E91" s="13" t="s">
        <v>5</v>
      </c>
      <c r="F91" s="13" t="s">
        <v>50</v>
      </c>
      <c r="G91" s="13" t="s">
        <v>51</v>
      </c>
      <c r="H91" s="13" t="s">
        <v>293</v>
      </c>
      <c r="I91" s="14" t="s">
        <v>286</v>
      </c>
    </row>
    <row r="92" spans="1:9" ht="28">
      <c r="A92" s="18" t="s">
        <v>294</v>
      </c>
      <c r="B92" s="13" t="s">
        <v>286</v>
      </c>
      <c r="C92" s="13" t="s">
        <v>291</v>
      </c>
      <c r="D92" s="13" t="s">
        <v>295</v>
      </c>
      <c r="E92" s="13" t="s">
        <v>5</v>
      </c>
      <c r="F92" s="13" t="s">
        <v>50</v>
      </c>
      <c r="G92" s="13" t="s">
        <v>51</v>
      </c>
      <c r="H92" s="13" t="s">
        <v>296</v>
      </c>
      <c r="I92" s="14" t="s">
        <v>286</v>
      </c>
    </row>
    <row r="93" spans="1:9" ht="28">
      <c r="A93" s="18" t="s">
        <v>297</v>
      </c>
      <c r="B93" s="13" t="s">
        <v>286</v>
      </c>
      <c r="C93" s="13" t="s">
        <v>298</v>
      </c>
      <c r="D93" s="13" t="s">
        <v>299</v>
      </c>
      <c r="E93" s="13" t="s">
        <v>6</v>
      </c>
      <c r="F93" s="13" t="s">
        <v>300</v>
      </c>
      <c r="G93" s="13" t="s">
        <v>301</v>
      </c>
      <c r="H93" s="13" t="s">
        <v>302</v>
      </c>
      <c r="I93" s="14" t="s">
        <v>286</v>
      </c>
    </row>
    <row r="94" spans="1:9" ht="42">
      <c r="A94" s="18" t="s">
        <v>303</v>
      </c>
      <c r="B94" s="13" t="s">
        <v>286</v>
      </c>
      <c r="C94" s="13" t="s">
        <v>304</v>
      </c>
      <c r="D94" s="13" t="s">
        <v>305</v>
      </c>
      <c r="E94" s="13" t="s">
        <v>5</v>
      </c>
      <c r="F94" s="13" t="s">
        <v>22</v>
      </c>
      <c r="G94" s="13" t="s">
        <v>23</v>
      </c>
      <c r="H94" s="13" t="s">
        <v>306</v>
      </c>
      <c r="I94" s="14" t="s">
        <v>286</v>
      </c>
    </row>
    <row r="95" spans="1:9" ht="28">
      <c r="A95" s="18" t="s">
        <v>307</v>
      </c>
      <c r="B95" s="13" t="s">
        <v>286</v>
      </c>
      <c r="C95" s="13" t="s">
        <v>308</v>
      </c>
      <c r="D95" s="13" t="s">
        <v>309</v>
      </c>
      <c r="E95" s="13" t="s">
        <v>7</v>
      </c>
      <c r="F95" s="13" t="s">
        <v>61</v>
      </c>
      <c r="G95" s="13" t="s">
        <v>62</v>
      </c>
      <c r="H95" s="13" t="s">
        <v>310</v>
      </c>
      <c r="I95" s="14" t="s">
        <v>286</v>
      </c>
    </row>
    <row r="96" spans="1:9" ht="28">
      <c r="A96" s="18" t="s">
        <v>311</v>
      </c>
      <c r="B96" s="13" t="s">
        <v>286</v>
      </c>
      <c r="C96" s="13" t="s">
        <v>312</v>
      </c>
      <c r="D96" s="13" t="s">
        <v>313</v>
      </c>
      <c r="E96" s="13" t="s">
        <v>7</v>
      </c>
      <c r="F96" s="13" t="s">
        <v>61</v>
      </c>
      <c r="G96" s="13" t="s">
        <v>62</v>
      </c>
      <c r="H96" s="13" t="s">
        <v>314</v>
      </c>
      <c r="I96" s="14" t="s">
        <v>286</v>
      </c>
    </row>
    <row r="97" spans="1:9" ht="42">
      <c r="A97" s="18" t="s">
        <v>315</v>
      </c>
      <c r="B97" s="13" t="s">
        <v>286</v>
      </c>
      <c r="C97" s="13" t="s">
        <v>316</v>
      </c>
      <c r="D97" s="13" t="s">
        <v>317</v>
      </c>
      <c r="E97" s="13" t="s">
        <v>6</v>
      </c>
      <c r="F97" s="13" t="s">
        <v>97</v>
      </c>
      <c r="G97" s="13" t="s">
        <v>98</v>
      </c>
      <c r="H97" s="13" t="s">
        <v>318</v>
      </c>
      <c r="I97" s="14" t="s">
        <v>286</v>
      </c>
    </row>
    <row r="98" spans="1:9" ht="28">
      <c r="A98" s="18" t="s">
        <v>319</v>
      </c>
      <c r="B98" s="13" t="s">
        <v>320</v>
      </c>
      <c r="C98" s="13" t="s">
        <v>321</v>
      </c>
      <c r="D98" s="13" t="s">
        <v>322</v>
      </c>
      <c r="E98" s="13" t="s">
        <v>7</v>
      </c>
      <c r="F98" s="13" t="s">
        <v>323</v>
      </c>
      <c r="G98" s="13" t="s">
        <v>324</v>
      </c>
      <c r="H98" s="13" t="s">
        <v>325</v>
      </c>
      <c r="I98" s="14" t="s">
        <v>320</v>
      </c>
    </row>
    <row r="99" spans="1:9" ht="28">
      <c r="A99" s="18" t="s">
        <v>326</v>
      </c>
      <c r="B99" s="13" t="s">
        <v>320</v>
      </c>
      <c r="C99" s="13" t="s">
        <v>327</v>
      </c>
      <c r="D99" s="13" t="s">
        <v>328</v>
      </c>
      <c r="E99" s="13" t="s">
        <v>7</v>
      </c>
      <c r="F99" s="13" t="s">
        <v>323</v>
      </c>
      <c r="G99" s="13" t="s">
        <v>324</v>
      </c>
      <c r="H99" s="13" t="s">
        <v>325</v>
      </c>
      <c r="I99" s="14" t="s">
        <v>320</v>
      </c>
    </row>
    <row r="100" spans="1:9" ht="28">
      <c r="A100" s="18" t="s">
        <v>329</v>
      </c>
      <c r="B100" s="13" t="s">
        <v>320</v>
      </c>
      <c r="C100" s="13" t="s">
        <v>327</v>
      </c>
      <c r="D100" s="13" t="s">
        <v>330</v>
      </c>
      <c r="E100" s="13" t="s">
        <v>7</v>
      </c>
      <c r="F100" s="13" t="s">
        <v>323</v>
      </c>
      <c r="G100" s="13" t="s">
        <v>324</v>
      </c>
      <c r="H100" s="13" t="s">
        <v>325</v>
      </c>
      <c r="I100" s="14" t="s">
        <v>320</v>
      </c>
    </row>
    <row r="101" spans="1:9" ht="28">
      <c r="A101" s="18" t="s">
        <v>331</v>
      </c>
      <c r="B101" s="13" t="s">
        <v>320</v>
      </c>
      <c r="C101" s="13" t="s">
        <v>332</v>
      </c>
      <c r="D101" s="13" t="s">
        <v>333</v>
      </c>
      <c r="E101" s="13" t="s">
        <v>7</v>
      </c>
      <c r="F101" s="13" t="s">
        <v>323</v>
      </c>
      <c r="G101" s="13" t="s">
        <v>324</v>
      </c>
      <c r="H101" s="13" t="s">
        <v>325</v>
      </c>
      <c r="I101" s="14" t="s">
        <v>320</v>
      </c>
    </row>
    <row r="102" spans="1:9" ht="28">
      <c r="A102" s="19" t="s">
        <v>334</v>
      </c>
      <c r="B102" s="15" t="s">
        <v>320</v>
      </c>
      <c r="C102" s="15" t="s">
        <v>335</v>
      </c>
      <c r="D102" s="15" t="s">
        <v>336</v>
      </c>
      <c r="E102" s="15" t="s">
        <v>7</v>
      </c>
      <c r="F102" s="15" t="s">
        <v>323</v>
      </c>
      <c r="G102" s="15" t="s">
        <v>324</v>
      </c>
      <c r="H102" s="15" t="s">
        <v>325</v>
      </c>
      <c r="I102" s="16" t="s">
        <v>320</v>
      </c>
    </row>
  </sheetData>
  <mergeCells count="2">
    <mergeCell ref="A1:I1"/>
    <mergeCell ref="A2:I2"/>
  </mergeCells>
  <conditionalFormatting sqref="E12:E102">
    <cfRule type="containsText" dxfId="3" priority="1" operator="containsText" text="Done"/>
    <cfRule type="containsText" dxfId="2" priority="2" operator="containsText" text="Partial"/>
    <cfRule type="containsText" dxfId="1" priority="3" operator="containsText" text="Needs to be done"/>
    <cfRule type="containsText" dxfId="0" priority="4" operator="containsText" text="Out of module scope"/>
  </conditionalFormatting>
  <dataValidations count="1">
    <dataValidation type="list" sqref="E12:E102" xr:uid="{00000000-0002-0000-0000-000000000000}">
      <formula1>"Done,Partial,Needs to be done,Out of module scope"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AKS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Monis Khan</cp:lastModifiedBy>
  <dcterms:created xsi:type="dcterms:W3CDTF">2026-08-27T17:59:11Z</dcterms:created>
  <dcterms:modified xsi:type="dcterms:W3CDTF">2026-08-27T17:59:11Z</dcterms:modified>
</cp:coreProperties>
</file>